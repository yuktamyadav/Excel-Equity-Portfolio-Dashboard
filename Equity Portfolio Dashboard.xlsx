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Career\CSE Placement and Tech Skills\Excel\Projects\Equity Portfolio Dashboard\"/>
    </mc:Choice>
  </mc:AlternateContent>
  <xr:revisionPtr revIDLastSave="0" documentId="13_ncr:1_{0F18F591-7EF5-45A3-B180-4EF51A3241AE}" xr6:coauthVersionLast="47" xr6:coauthVersionMax="47" xr10:uidLastSave="{00000000-0000-0000-0000-000000000000}"/>
  <bookViews>
    <workbookView xWindow="-120" yWindow="-120" windowWidth="29040" windowHeight="15720" xr2:uid="{00000000-000D-0000-FFFF-FFFF00000000}"/>
  </bookViews>
  <sheets>
    <sheet name="Main" sheetId="2" r:id="rId1"/>
    <sheet name="Transactions" sheetId="3" r:id="rId2"/>
    <sheet name="Charting"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8" roundtripDataSignature="AMtx7mhViTFd/CNyeULKAM9WaRbnEpCzag=="/>
    </ext>
  </extLst>
</workbook>
</file>

<file path=xl/calcChain.xml><?xml version="1.0" encoding="utf-8"?>
<calcChain xmlns="http://schemas.openxmlformats.org/spreadsheetml/2006/main">
  <c r="B8" i="2" l="1" a="1"/>
  <c r="B8" i="2" s="1"/>
  <c r="F4" i="4"/>
  <c r="C8" i="2" l="1" a="1"/>
  <c r="C8" i="2" s="1"/>
  <c r="F5" i="4"/>
  <c r="C5" i="4"/>
  <c r="C4" i="4"/>
  <c r="I50" i="2"/>
  <c r="D6" i="3" a="1"/>
  <c r="D6" i="3" s="1"/>
  <c r="D12" i="3" a="1"/>
  <c r="D12" i="3" s="1"/>
  <c r="D11" i="3" a="1"/>
  <c r="D11" i="3" s="1"/>
  <c r="D10" i="3" a="1"/>
  <c r="D10" i="3" s="1"/>
  <c r="D9" i="3" a="1"/>
  <c r="D9" i="3" s="1"/>
  <c r="D8" i="3" a="1"/>
  <c r="D8" i="3" s="1"/>
  <c r="D7" i="3" a="1"/>
  <c r="D7" i="3" s="1"/>
  <c r="D5" i="3" a="1"/>
  <c r="D5" i="3" s="1"/>
  <c r="I4" i="3"/>
  <c r="I5" i="3" s="1"/>
  <c r="I6" i="3" s="1"/>
  <c r="I7" i="3" s="1"/>
  <c r="I8" i="3" s="1"/>
  <c r="I9" i="3" s="1"/>
  <c r="I10" i="3" s="1"/>
  <c r="D4" i="3" a="1"/>
  <c r="D4" i="3" s="1"/>
  <c r="D3" i="3" a="1"/>
  <c r="D3" i="3" s="1"/>
  <c r="B7" i="4" a="1"/>
  <c r="G11" i="3" a="1"/>
  <c r="G9" i="3" a="1"/>
  <c r="G10" i="3" a="1"/>
  <c r="G4" i="3" a="1"/>
  <c r="G3" i="3" a="1"/>
  <c r="E7" i="4" a="1"/>
  <c r="G12" i="3" a="1"/>
  <c r="G5" i="3" a="1"/>
  <c r="G7" i="3" a="1"/>
  <c r="G8" i="3" a="1"/>
  <c r="G6" i="3" a="1"/>
  <c r="E7" i="4" l="1"/>
  <c r="B7" i="4"/>
  <c r="F8" i="2" a="1"/>
  <c r="F8" i="2" s="1"/>
  <c r="M8" i="2" a="1"/>
  <c r="M8" i="2" s="1"/>
  <c r="L8" i="2" a="1"/>
  <c r="L8" i="2" s="1"/>
  <c r="G8" i="2" a="1"/>
  <c r="D8" i="2" a="1"/>
  <c r="G3" i="3"/>
  <c r="H3" i="3" s="1"/>
  <c r="G5" i="3"/>
  <c r="H5" i="3" s="1"/>
  <c r="G10" i="3"/>
  <c r="H10" i="3" s="1"/>
  <c r="G7" i="3"/>
  <c r="H7" i="3" s="1"/>
  <c r="G6" i="3"/>
  <c r="H6" i="3" s="1"/>
  <c r="G12" i="3"/>
  <c r="H12" i="3" s="1"/>
  <c r="G9" i="3"/>
  <c r="H9" i="3" s="1"/>
  <c r="G11" i="3"/>
  <c r="H11" i="3" s="1"/>
  <c r="G8" i="3"/>
  <c r="H8" i="3" s="1"/>
  <c r="G4" i="3"/>
  <c r="H4" i="3" s="1"/>
  <c r="D8" i="2" l="1"/>
  <c r="G8" i="2"/>
  <c r="J8" i="2" s="1" a="1"/>
  <c r="H8" i="2" l="1" a="1"/>
  <c r="H8" i="2" s="1"/>
  <c r="K8" i="2" s="1" a="1"/>
  <c r="J8" i="2"/>
  <c r="J2" i="2" s="1"/>
  <c r="K8" i="2" l="1"/>
  <c r="L2" i="2" s="1"/>
  <c r="I8" i="2"/>
  <c r="H2" i="2"/>
  <c r="I9" i="2"/>
  <c r="I15" i="2"/>
  <c r="I13" i="2"/>
  <c r="I12" i="2"/>
  <c r="I14" i="2"/>
  <c r="I11" i="2"/>
  <c r="I10" i="2"/>
  <c r="I16"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00">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futureMetadata>
  <futureMetadata name="XLDAPR" count="1">
    <bk>
      <extLst>
        <ext uri="{bdbb8cdc-fa1e-496e-a857-3c3f30c029c3}">
          <xda:dynamicArrayProperties fDynamic="1" fCollapsed="0"/>
        </ext>
      </extLst>
    </bk>
  </futureMetadata>
  <cellMetadata count="1">
    <bk>
      <rc t="2" v="0"/>
    </bk>
  </cellMetadata>
  <valueMetadata count="20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valueMetadata>
</metadata>
</file>

<file path=xl/sharedStrings.xml><?xml version="1.0" encoding="utf-8"?>
<sst xmlns="http://schemas.openxmlformats.org/spreadsheetml/2006/main" count="51" uniqueCount="39">
  <si>
    <t>Current Holdings</t>
  </si>
  <si>
    <t>Company</t>
  </si>
  <si>
    <t>Ticker</t>
  </si>
  <si>
    <t>Industry</t>
  </si>
  <si>
    <t>Quantity</t>
  </si>
  <si>
    <t>Current Price</t>
  </si>
  <si>
    <t>Market Value</t>
  </si>
  <si>
    <t>% Breakdown</t>
  </si>
  <si>
    <t>$ Day Change</t>
  </si>
  <si>
    <t>Gain (Loss)</t>
  </si>
  <si>
    <t>52 Week High</t>
  </si>
  <si>
    <t>52 Week Low</t>
  </si>
  <si>
    <t>Portfolio Breakdown</t>
  </si>
  <si>
    <t>Gain / (Loss) Breakdown</t>
  </si>
  <si>
    <t>Historical Performance</t>
  </si>
  <si>
    <t>Stock Lookup -&gt;</t>
  </si>
  <si>
    <t>Time Period (months) -&gt;</t>
  </si>
  <si>
    <t>Comparison  -&gt;</t>
  </si>
  <si>
    <t>Date</t>
  </si>
  <si>
    <t>Transaction Type</t>
  </si>
  <si>
    <t>Units</t>
  </si>
  <si>
    <t>Price</t>
  </si>
  <si>
    <t>Currency</t>
  </si>
  <si>
    <t>BUY</t>
  </si>
  <si>
    <t>USD</t>
  </si>
  <si>
    <t>SELL</t>
  </si>
  <si>
    <t>Actual</t>
  </si>
  <si>
    <t>Comparison</t>
  </si>
  <si>
    <t>Ticker -&gt;</t>
  </si>
  <si>
    <t>Company -&gt;</t>
  </si>
  <si>
    <t>Months -&gt;</t>
  </si>
  <si>
    <t>Equity/Stock</t>
  </si>
  <si>
    <t>Equity Transactions or Liquidations Database</t>
  </si>
  <si>
    <t>Total Portfolio Value</t>
  </si>
  <si>
    <t>$ Day Change (Total)</t>
  </si>
  <si>
    <t>Gain/(Loss)</t>
  </si>
  <si>
    <t>NFLX</t>
  </si>
  <si>
    <t>Total Transaction Amount (Market Value)</t>
  </si>
  <si>
    <t>TSLA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</si>
</sst>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quot;$&quot;#,##0.00"/>
    <numFmt numFmtId="165" formatCode="\$#,##0.00_);\(\$#,##0.00\);\-\-_)"/>
    <numFmt numFmtId="166" formatCode="#,##0_);\(#,##0\);\-\-_)"/>
    <numFmt numFmtId="167" formatCode="&quot;$&quot;#,##0.00_);[Red]\(&quot;$&quot;#,##0.00\)"/>
    <numFmt numFmtId="168" formatCode="&quot;$&quot;#,##0.00_);\(&quot;$&quot;#,##0.00\)"/>
    <numFmt numFmtId="169" formatCode="_([$$-409]* #,##0.00_);_([$$-409]* \(#,##0.00\);_([$$-409]* &quot;-&quot;??_);_(@_)"/>
    <numFmt numFmtId="170" formatCode="[$$-C09]#,##0.00;\-[$$-C09]#,##0.00"/>
    <numFmt numFmtId="171" formatCode="[$$-409]#,##0.00"/>
  </numFmts>
  <fonts count="16">
    <font>
      <sz val="11"/>
      <color theme="1"/>
      <name val="Calibri"/>
      <scheme val="minor"/>
    </font>
    <font>
      <sz val="11"/>
      <color theme="1"/>
      <name val="Calibri"/>
      <family val="2"/>
      <scheme val="minor"/>
    </font>
    <font>
      <sz val="11"/>
      <color theme="1"/>
      <name val="Calibri"/>
    </font>
    <font>
      <b/>
      <sz val="11"/>
      <color theme="1"/>
      <name val="Calibri"/>
    </font>
    <font>
      <sz val="11"/>
      <color theme="1"/>
      <name val="Calibri"/>
      <scheme val="minor"/>
    </font>
    <font>
      <b/>
      <sz val="36"/>
      <color theme="0"/>
      <name val="Calibri"/>
    </font>
    <font>
      <sz val="11"/>
      <name val="Calibri"/>
    </font>
    <font>
      <b/>
      <sz val="11"/>
      <color theme="0"/>
      <name val="Calibri"/>
    </font>
    <font>
      <b/>
      <sz val="16"/>
      <color theme="0"/>
      <name val="Calibri"/>
    </font>
    <font>
      <b/>
      <sz val="11"/>
      <color rgb="FF2A3E68"/>
      <name val="Calibri"/>
    </font>
    <font>
      <sz val="11"/>
      <color rgb="FF0432FF"/>
      <name val="Calibri"/>
    </font>
    <font>
      <sz val="11"/>
      <color theme="1"/>
      <name val="Abadi"/>
      <family val="2"/>
    </font>
    <font>
      <b/>
      <sz val="12"/>
      <color theme="0"/>
      <name val="Calibri"/>
      <family val="2"/>
    </font>
    <font>
      <sz val="12"/>
      <name val="Calibri"/>
      <family val="2"/>
    </font>
    <font>
      <sz val="11"/>
      <color theme="1"/>
      <name val="Calibri"/>
      <family val="2"/>
    </font>
    <font>
      <b/>
      <i/>
      <sz val="16"/>
      <color theme="1"/>
      <name val="Calibri"/>
      <family val="2"/>
      <scheme val="minor"/>
    </font>
  </fonts>
  <fills count="10">
    <fill>
      <patternFill patternType="none"/>
    </fill>
    <fill>
      <patternFill patternType="gray125"/>
    </fill>
    <fill>
      <patternFill patternType="solid">
        <fgColor rgb="FF92D050"/>
        <bgColor indexed="64"/>
      </patternFill>
    </fill>
    <fill>
      <patternFill patternType="solid">
        <fgColor theme="2"/>
        <bgColor rgb="FFD9E2F3"/>
      </patternFill>
    </fill>
    <fill>
      <patternFill patternType="solid">
        <fgColor rgb="FF00B050"/>
        <bgColor rgb="FF2A3E68"/>
      </patternFill>
    </fill>
    <fill>
      <patternFill patternType="solid">
        <fgColor rgb="FF00B050"/>
        <bgColor indexed="64"/>
      </patternFill>
    </fill>
    <fill>
      <patternFill patternType="solid">
        <fgColor rgb="FF92D050"/>
        <bgColor rgb="FFD9E2F3"/>
      </patternFill>
    </fill>
    <fill>
      <patternFill patternType="solid">
        <fgColor theme="9" tint="0.79998168889431442"/>
        <bgColor rgb="FFFFFF99"/>
      </patternFill>
    </fill>
    <fill>
      <patternFill patternType="solid">
        <fgColor theme="9" tint="0.79998168889431442"/>
        <bgColor indexed="64"/>
      </patternFill>
    </fill>
    <fill>
      <patternFill patternType="solid">
        <fgColor theme="9" tint="0.79998168889431442"/>
        <bgColor rgb="FFD9E2F3"/>
      </patternFill>
    </fill>
  </fills>
  <borders count="1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9" fontId="4" fillId="0" borderId="0" applyFont="0" applyFill="0" applyBorder="0" applyAlignment="0" applyProtection="0"/>
  </cellStyleXfs>
  <cellXfs count="64">
    <xf numFmtId="0" fontId="0" fillId="0" borderId="0" xfId="0"/>
    <xf numFmtId="0" fontId="4" fillId="0" borderId="0" xfId="0" applyFont="1"/>
    <xf numFmtId="0" fontId="2" fillId="0" borderId="0" xfId="0" applyFont="1" applyAlignment="1">
      <alignment horizontal="left"/>
    </xf>
    <xf numFmtId="0" fontId="9" fillId="0" borderId="0" xfId="0" applyFont="1"/>
    <xf numFmtId="0" fontId="7" fillId="0" borderId="0" xfId="0" applyFont="1"/>
    <xf numFmtId="0" fontId="2" fillId="0" borderId="0" xfId="0" applyFont="1"/>
    <xf numFmtId="0" fontId="3" fillId="0" borderId="0" xfId="0" applyFont="1" applyAlignment="1">
      <alignment horizontal="right"/>
    </xf>
    <xf numFmtId="0" fontId="2" fillId="0" borderId="0" xfId="0" applyFont="1" applyAlignment="1">
      <alignment horizontal="center"/>
    </xf>
    <xf numFmtId="14" fontId="2" fillId="0" borderId="0" xfId="0" applyNumberFormat="1" applyFont="1"/>
    <xf numFmtId="166" fontId="10" fillId="0" borderId="0" xfId="0" applyNumberFormat="1" applyFont="1"/>
    <xf numFmtId="167" fontId="10" fillId="0" borderId="0" xfId="0" applyNumberFormat="1" applyFont="1"/>
    <xf numFmtId="168" fontId="2" fillId="0" borderId="0" xfId="0" applyNumberFormat="1" applyFont="1"/>
    <xf numFmtId="169" fontId="2" fillId="0" borderId="0" xfId="0" applyNumberFormat="1" applyFont="1"/>
    <xf numFmtId="0" fontId="7" fillId="0" borderId="0" xfId="0" applyFont="1" applyAlignment="1">
      <alignment horizontal="center"/>
    </xf>
    <xf numFmtId="0" fontId="3" fillId="0" borderId="0" xfId="0" applyFont="1" applyAlignment="1">
      <alignment horizontal="center"/>
    </xf>
    <xf numFmtId="0" fontId="3" fillId="0" borderId="0" xfId="0" applyFont="1"/>
    <xf numFmtId="0" fontId="3" fillId="0" borderId="0" xfId="0" applyFont="1" applyAlignment="1">
      <alignment horizontal="center" vertical="center"/>
    </xf>
    <xf numFmtId="170" fontId="2" fillId="0" borderId="0" xfId="0" applyNumberFormat="1" applyFont="1" applyAlignment="1">
      <alignment horizontal="center" vertical="center"/>
    </xf>
    <xf numFmtId="0" fontId="2" fillId="0" borderId="0" xfId="0" applyFont="1" applyAlignment="1">
      <alignment horizontal="center" vertical="center"/>
    </xf>
    <xf numFmtId="170" fontId="2" fillId="0" borderId="0" xfId="0" applyNumberFormat="1" applyFont="1" applyAlignment="1">
      <alignment horizontal="center"/>
    </xf>
    <xf numFmtId="0" fontId="11" fillId="0" borderId="0" xfId="0" applyFont="1" applyAlignment="1">
      <alignment horizontal="left"/>
    </xf>
    <xf numFmtId="0" fontId="3" fillId="3" borderId="11" xfId="0" applyFont="1" applyFill="1" applyBorder="1" applyAlignment="1">
      <alignment horizontal="left"/>
    </xf>
    <xf numFmtId="0" fontId="2" fillId="4" borderId="1" xfId="0" applyFont="1" applyFill="1" applyBorder="1"/>
    <xf numFmtId="0" fontId="5" fillId="4" borderId="2" xfId="0" applyFont="1" applyFill="1" applyBorder="1" applyAlignment="1">
      <alignment vertical="center"/>
    </xf>
    <xf numFmtId="0" fontId="6" fillId="5" borderId="3" xfId="0" applyFont="1" applyFill="1" applyBorder="1"/>
    <xf numFmtId="0" fontId="6" fillId="5" borderId="4" xfId="0" applyFont="1" applyFill="1" applyBorder="1"/>
    <xf numFmtId="0" fontId="7" fillId="4" borderId="1" xfId="0" applyFont="1" applyFill="1" applyBorder="1" applyAlignment="1">
      <alignment horizontal="center" wrapText="1"/>
    </xf>
    <xf numFmtId="0" fontId="7" fillId="4" borderId="1" xfId="0" applyFont="1" applyFill="1" applyBorder="1" applyAlignment="1">
      <alignment horizontal="left" vertical="center"/>
    </xf>
    <xf numFmtId="0" fontId="6" fillId="5" borderId="5" xfId="0" applyFont="1" applyFill="1" applyBorder="1"/>
    <xf numFmtId="0" fontId="6" fillId="5" borderId="6" xfId="0" applyFont="1" applyFill="1" applyBorder="1"/>
    <xf numFmtId="0" fontId="6" fillId="5" borderId="7" xfId="0" applyFont="1" applyFill="1" applyBorder="1"/>
    <xf numFmtId="164" fontId="8" fillId="4" borderId="1" xfId="0" applyNumberFormat="1" applyFont="1" applyFill="1" applyBorder="1" applyAlignment="1">
      <alignment horizontal="center" vertical="center"/>
    </xf>
    <xf numFmtId="165" fontId="8" fillId="4" borderId="1" xfId="0" applyNumberFormat="1" applyFont="1" applyFill="1" applyBorder="1" applyAlignment="1">
      <alignment horizontal="center" vertical="center"/>
    </xf>
    <xf numFmtId="10" fontId="8" fillId="4" borderId="1" xfId="0" applyNumberFormat="1" applyFont="1" applyFill="1" applyBorder="1" applyAlignment="1">
      <alignment horizontal="center" vertical="center"/>
    </xf>
    <xf numFmtId="0" fontId="2" fillId="7" borderId="15" xfId="0" applyFont="1" applyFill="1" applyBorder="1" applyAlignment="1">
      <alignment horizontal="center"/>
    </xf>
    <xf numFmtId="0" fontId="2" fillId="7" borderId="15" xfId="0" applyFont="1" applyFill="1" applyBorder="1" applyAlignment="1">
      <alignment horizontal="center" vertical="center"/>
    </xf>
    <xf numFmtId="0" fontId="1" fillId="0" borderId="0" xfId="0" applyFont="1"/>
    <xf numFmtId="0" fontId="0" fillId="0" borderId="0" xfId="0" applyAlignment="1">
      <alignment horizontal="center"/>
    </xf>
    <xf numFmtId="0" fontId="14" fillId="0" borderId="0" xfId="0" applyFont="1" applyAlignment="1">
      <alignment horizontal="center"/>
    </xf>
    <xf numFmtId="0" fontId="0" fillId="0" borderId="0" xfId="0" applyAlignment="1">
      <alignment horizontal="center" vertical="center"/>
    </xf>
    <xf numFmtId="165" fontId="2" fillId="0" borderId="0" xfId="0" applyNumberFormat="1" applyFont="1" applyAlignment="1">
      <alignment horizontal="center"/>
    </xf>
    <xf numFmtId="165" fontId="2" fillId="0" borderId="0" xfId="0" applyNumberFormat="1" applyFont="1" applyAlignment="1">
      <alignment horizontal="center" vertical="center"/>
    </xf>
    <xf numFmtId="171" fontId="2" fillId="0" borderId="0" xfId="0" applyNumberFormat="1" applyFont="1" applyAlignment="1">
      <alignment horizontal="center" vertical="center"/>
    </xf>
    <xf numFmtId="171" fontId="0" fillId="0" borderId="0" xfId="0" applyNumberFormat="1" applyAlignment="1">
      <alignment horizontal="center" vertical="center"/>
    </xf>
    <xf numFmtId="9" fontId="2" fillId="0" borderId="0" xfId="1" applyFont="1" applyAlignment="1">
      <alignment horizontal="center" vertical="center"/>
    </xf>
    <xf numFmtId="0" fontId="12" fillId="4" borderId="1" xfId="0" applyFont="1" applyFill="1" applyBorder="1"/>
    <xf numFmtId="165" fontId="12" fillId="4" borderId="1" xfId="0" applyNumberFormat="1" applyFont="1" applyFill="1" applyBorder="1" applyAlignment="1">
      <alignment horizontal="center" vertical="center"/>
    </xf>
    <xf numFmtId="171" fontId="12" fillId="4" borderId="1" xfId="0" applyNumberFormat="1" applyFont="1" applyFill="1" applyBorder="1" applyAlignment="1">
      <alignment horizontal="right" vertical="center" wrapText="1"/>
    </xf>
    <xf numFmtId="0" fontId="2" fillId="9" borderId="15" xfId="0" applyFont="1" applyFill="1" applyBorder="1" applyAlignment="1">
      <alignment horizontal="center"/>
    </xf>
    <xf numFmtId="9" fontId="0" fillId="0" borderId="0" xfId="1" applyFont="1"/>
    <xf numFmtId="0" fontId="3" fillId="6" borderId="12" xfId="0" applyFont="1" applyFill="1" applyBorder="1" applyAlignment="1">
      <alignment horizontal="center"/>
    </xf>
    <xf numFmtId="0" fontId="6" fillId="2" borderId="14" xfId="0" applyFont="1" applyFill="1" applyBorder="1"/>
    <xf numFmtId="0" fontId="6" fillId="2" borderId="13" xfId="0" applyFont="1" applyFill="1" applyBorder="1"/>
    <xf numFmtId="0" fontId="2" fillId="7" borderId="16" xfId="0" applyFont="1" applyFill="1" applyBorder="1" applyAlignment="1">
      <alignment horizontal="center"/>
    </xf>
    <xf numFmtId="0" fontId="6" fillId="8" borderId="17" xfId="0" applyFont="1" applyFill="1" applyBorder="1"/>
    <xf numFmtId="0" fontId="12" fillId="4" borderId="8" xfId="0" applyFont="1" applyFill="1" applyBorder="1" applyAlignment="1">
      <alignment horizontal="center"/>
    </xf>
    <xf numFmtId="0" fontId="13" fillId="5" borderId="9" xfId="0" applyFont="1" applyFill="1" applyBorder="1"/>
    <xf numFmtId="0" fontId="13" fillId="5" borderId="10" xfId="0" applyFont="1" applyFill="1" applyBorder="1"/>
    <xf numFmtId="0" fontId="12" fillId="4" borderId="12" xfId="0" applyFont="1" applyFill="1" applyBorder="1" applyAlignment="1">
      <alignment horizontal="center"/>
    </xf>
    <xf numFmtId="0" fontId="13" fillId="5" borderId="14" xfId="0" applyFont="1" applyFill="1" applyBorder="1"/>
    <xf numFmtId="0" fontId="13" fillId="5" borderId="13" xfId="0" applyFont="1" applyFill="1" applyBorder="1"/>
    <xf numFmtId="0" fontId="15" fillId="0" borderId="0" xfId="0" applyFont="1" applyAlignment="1">
      <alignment horizontal="center" vertical="center"/>
    </xf>
    <xf numFmtId="0" fontId="7" fillId="4" borderId="12" xfId="0" applyFont="1" applyFill="1" applyBorder="1" applyAlignment="1">
      <alignment horizontal="center"/>
    </xf>
    <xf numFmtId="0" fontId="6" fillId="5" borderId="13" xfId="0" applyFont="1" applyFill="1" applyBorder="1"/>
  </cellXfs>
  <cellStyles count="2">
    <cellStyle name="Normal" xfId="0" builtinId="0"/>
    <cellStyle name="Percent" xfId="1" builtinId="5"/>
  </cellStyles>
  <dxfs count="3">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Transaction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microsoft.com/office/2017/06/relationships/rdRichValue" Target="richData/rdrichvalue.xml"/><Relationship Id="rId18" Type="http://schemas.microsoft.com/office/2017/06/relationships/rdSupportingPropertyBag" Target="richData/rdsupportingpropertybag.xml"/><Relationship Id="rId3" Type="http://schemas.openxmlformats.org/officeDocument/2006/relationships/worksheet" Target="worksheets/sheet3.xml"/><Relationship Id="rId12" Type="http://schemas.openxmlformats.org/officeDocument/2006/relationships/sheetMetadata" Target="metadata.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11" Type="http://schemas.openxmlformats.org/officeDocument/2006/relationships/sharedStrings" Target="sharedStrings.xml"/><Relationship Id="rId15" Type="http://schemas.microsoft.com/office/2017/06/relationships/rdArray" Target="richData/rdarray.xml"/><Relationship Id="rId10" Type="http://schemas.openxmlformats.org/officeDocument/2006/relationships/styles" Target="styles.xml"/><Relationship Id="rId19" Type="http://schemas.microsoft.com/office/2017/06/relationships/rdRichValueTypes" Target="richData/rdRichValueTypes.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25-4D1F-82CB-45495173E6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5E73-4C42-AC09-81F7652DDF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25-4D1F-82CB-45495173E6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25-4D1F-82CB-45495173E6F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25-4D1F-82CB-45495173E6F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B25-4D1F-82CB-45495173E6F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B25-4D1F-82CB-45495173E6F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B25-4D1F-82CB-45495173E6F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B25-4D1F-82CB-45495173E6F3}"/>
              </c:ext>
            </c:extLst>
          </c:dPt>
          <c:dLbls>
            <c:dLbl>
              <c:idx val="1"/>
              <c:layout>
                <c:manualLayout>
                  <c:x val="-5.4119369830544231E-2"/>
                  <c:y val="8.500967682070041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73-4C42-AC09-81F7652DDF7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Main!$C$8:$C$16</c:f>
              <c:strCache>
                <c:ptCount val="9"/>
                <c:pt idx="0">
                  <c:v>TSLA</c:v>
                </c:pt>
                <c:pt idx="1">
                  <c:v>NFLX</c:v>
                </c:pt>
                <c:pt idx="2">
                  <c:v>BRK.B</c:v>
                </c:pt>
                <c:pt idx="3">
                  <c:v>AXP</c:v>
                </c:pt>
                <c:pt idx="4">
                  <c:v>MSFT</c:v>
                </c:pt>
                <c:pt idx="5">
                  <c:v>BLK</c:v>
                </c:pt>
                <c:pt idx="6">
                  <c:v>GS</c:v>
                </c:pt>
                <c:pt idx="7">
                  <c:v>V</c:v>
                </c:pt>
                <c:pt idx="8">
                  <c:v>PLTR</c:v>
                </c:pt>
              </c:strCache>
            </c:strRef>
          </c:cat>
          <c:val>
            <c:numRef>
              <c:f>Main!$I$8:$I$16</c:f>
              <c:numCache>
                <c:formatCode>0%</c:formatCode>
                <c:ptCount val="9"/>
                <c:pt idx="0">
                  <c:v>9.7320697224247715E-2</c:v>
                </c:pt>
                <c:pt idx="1">
                  <c:v>1.9145638751267444E-2</c:v>
                </c:pt>
                <c:pt idx="2">
                  <c:v>0.22482401899912843</c:v>
                </c:pt>
                <c:pt idx="3">
                  <c:v>8.8369890967844922E-2</c:v>
                </c:pt>
                <c:pt idx="4">
                  <c:v>6.9584907413721919E-2</c:v>
                </c:pt>
                <c:pt idx="5">
                  <c:v>0.14042367711673687</c:v>
                </c:pt>
                <c:pt idx="6">
                  <c:v>0.16988264935621641</c:v>
                </c:pt>
                <c:pt idx="7">
                  <c:v>0.14266592199955483</c:v>
                </c:pt>
                <c:pt idx="8">
                  <c:v>4.7782598171281429E-2</c:v>
                </c:pt>
              </c:numCache>
            </c:numRef>
          </c:val>
          <c:extLst>
            <c:ext xmlns:c16="http://schemas.microsoft.com/office/drawing/2014/chart" uri="{C3380CC4-5D6E-409C-BE32-E72D297353CC}">
              <c16:uniqueId val="{00000000-5E73-4C42-AC09-81F7652DDF7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Main!$C$8</c:f>
              <c:strCache>
                <c:ptCount val="1"/>
                <c:pt idx="0">
                  <c:v>TSLA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Main!$K$8</c:f>
              <c:numCache>
                <c:formatCode>\$#,##0.00_);\(\$#,##0.00\);\-\-_)</c:formatCode>
                <c:ptCount val="1"/>
                <c:pt idx="0">
                  <c:v>-2356.1999999999989</c:v>
                </c:pt>
              </c:numCache>
            </c:numRef>
          </c:val>
          <c:extLst>
            <c:ext xmlns:c16="http://schemas.microsoft.com/office/drawing/2014/chart" uri="{C3380CC4-5D6E-409C-BE32-E72D297353CC}">
              <c16:uniqueId val="{00000000-EE7B-47A2-8EDF-920518BC31E2}"/>
            </c:ext>
          </c:extLst>
        </c:ser>
        <c:ser>
          <c:idx val="1"/>
          <c:order val="1"/>
          <c:tx>
            <c:strRef>
              <c:f>Main!$C$9</c:f>
              <c:strCache>
                <c:ptCount val="1"/>
                <c:pt idx="0">
                  <c:v>NFLX</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Main!$K$9</c:f>
              <c:numCache>
                <c:formatCode>\$#,##0.00_);\(\$#,##0.00\);\-\-_)</c:formatCode>
                <c:ptCount val="1"/>
                <c:pt idx="0">
                  <c:v>2261.8850000000002</c:v>
                </c:pt>
              </c:numCache>
            </c:numRef>
          </c:val>
          <c:extLst>
            <c:ext xmlns:c16="http://schemas.microsoft.com/office/drawing/2014/chart" uri="{C3380CC4-5D6E-409C-BE32-E72D297353CC}">
              <c16:uniqueId val="{00000001-EE7B-47A2-8EDF-920518BC31E2}"/>
            </c:ext>
          </c:extLst>
        </c:ser>
        <c:ser>
          <c:idx val="2"/>
          <c:order val="2"/>
          <c:tx>
            <c:strRef>
              <c:f>Main!$C$10</c:f>
              <c:strCache>
                <c:ptCount val="1"/>
                <c:pt idx="0">
                  <c:v>BRK.B</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Main!$K$10</c:f>
              <c:numCache>
                <c:formatCode>\$#,##0.00_);\(\$#,##0.00\);\-\-_)</c:formatCode>
                <c:ptCount val="1"/>
                <c:pt idx="0">
                  <c:v>-1876.5</c:v>
                </c:pt>
              </c:numCache>
            </c:numRef>
          </c:val>
          <c:extLst>
            <c:ext xmlns:c16="http://schemas.microsoft.com/office/drawing/2014/chart" uri="{C3380CC4-5D6E-409C-BE32-E72D297353CC}">
              <c16:uniqueId val="{00000002-EE7B-47A2-8EDF-920518BC31E2}"/>
            </c:ext>
          </c:extLst>
        </c:ser>
        <c:ser>
          <c:idx val="3"/>
          <c:order val="3"/>
          <c:tx>
            <c:strRef>
              <c:f>Main!$C$11</c:f>
              <c:strCache>
                <c:ptCount val="1"/>
                <c:pt idx="0">
                  <c:v>AXP</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Main!$K$11</c:f>
              <c:numCache>
                <c:formatCode>\$#,##0.00_);\(\$#,##0.00\);\-\-_)</c:formatCode>
                <c:ptCount val="1"/>
                <c:pt idx="0">
                  <c:v>438</c:v>
                </c:pt>
              </c:numCache>
            </c:numRef>
          </c:val>
          <c:extLst>
            <c:ext xmlns:c16="http://schemas.microsoft.com/office/drawing/2014/chart" uri="{C3380CC4-5D6E-409C-BE32-E72D297353CC}">
              <c16:uniqueId val="{00000003-EE7B-47A2-8EDF-920518BC31E2}"/>
            </c:ext>
          </c:extLst>
        </c:ser>
        <c:ser>
          <c:idx val="4"/>
          <c:order val="4"/>
          <c:tx>
            <c:strRef>
              <c:f>Main!$C$12</c:f>
              <c:strCache>
                <c:ptCount val="1"/>
                <c:pt idx="0">
                  <c:v>MSFT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Main!$K$12</c:f>
              <c:numCache>
                <c:formatCode>\$#,##0.00_);\(\$#,##0.00\);\-\-_)</c:formatCode>
                <c:ptCount val="1"/>
                <c:pt idx="0">
                  <c:v>-3022.9999999999982</c:v>
                </c:pt>
              </c:numCache>
            </c:numRef>
          </c:val>
          <c:extLst>
            <c:ext xmlns:c16="http://schemas.microsoft.com/office/drawing/2014/chart" uri="{C3380CC4-5D6E-409C-BE32-E72D297353CC}">
              <c16:uniqueId val="{00000004-EE7B-47A2-8EDF-920518BC31E2}"/>
            </c:ext>
          </c:extLst>
        </c:ser>
        <c:ser>
          <c:idx val="5"/>
          <c:order val="5"/>
          <c:tx>
            <c:strRef>
              <c:f>Main!$C$13</c:f>
              <c:strCache>
                <c:ptCount val="1"/>
                <c:pt idx="0">
                  <c:v>BLK</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Main!$K$13</c:f>
              <c:numCache>
                <c:formatCode>General</c:formatCode>
                <c:ptCount val="1"/>
                <c:pt idx="0">
                  <c:v>-1897.6499999999978</c:v>
                </c:pt>
              </c:numCache>
            </c:numRef>
          </c:val>
          <c:extLst>
            <c:ext xmlns:c16="http://schemas.microsoft.com/office/drawing/2014/chart" uri="{C3380CC4-5D6E-409C-BE32-E72D297353CC}">
              <c16:uniqueId val="{00000005-EE7B-47A2-8EDF-920518BC31E2}"/>
            </c:ext>
          </c:extLst>
        </c:ser>
        <c:ser>
          <c:idx val="6"/>
          <c:order val="6"/>
          <c:tx>
            <c:strRef>
              <c:f>Main!$C$14</c:f>
              <c:strCache>
                <c:ptCount val="1"/>
                <c:pt idx="0">
                  <c:v>GS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Main!$K$14</c:f>
              <c:numCache>
                <c:formatCode>General</c:formatCode>
                <c:ptCount val="1"/>
                <c:pt idx="0">
                  <c:v>2326.1999999999989</c:v>
                </c:pt>
              </c:numCache>
            </c:numRef>
          </c:val>
          <c:extLst>
            <c:ext xmlns:c16="http://schemas.microsoft.com/office/drawing/2014/chart" uri="{C3380CC4-5D6E-409C-BE32-E72D297353CC}">
              <c16:uniqueId val="{00000006-EE7B-47A2-8EDF-920518BC31E2}"/>
            </c:ext>
          </c:extLst>
        </c:ser>
        <c:ser>
          <c:idx val="7"/>
          <c:order val="7"/>
          <c:tx>
            <c:strRef>
              <c:f>Main!$C$15</c:f>
              <c:strCache>
                <c:ptCount val="1"/>
                <c:pt idx="0">
                  <c:v>V</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Main!$K$15</c:f>
              <c:numCache>
                <c:formatCode>General</c:formatCode>
                <c:ptCount val="1"/>
                <c:pt idx="0">
                  <c:v>-2454.3900000000012</c:v>
                </c:pt>
              </c:numCache>
            </c:numRef>
          </c:val>
          <c:extLst>
            <c:ext xmlns:c16="http://schemas.microsoft.com/office/drawing/2014/chart" uri="{C3380CC4-5D6E-409C-BE32-E72D297353CC}">
              <c16:uniqueId val="{00000007-EE7B-47A2-8EDF-920518BC31E2}"/>
            </c:ext>
          </c:extLst>
        </c:ser>
        <c:ser>
          <c:idx val="8"/>
          <c:order val="8"/>
          <c:tx>
            <c:strRef>
              <c:f>Main!$C$16</c:f>
              <c:strCache>
                <c:ptCount val="1"/>
                <c:pt idx="0">
                  <c:v>PLTR</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Main!$K$16</c:f>
              <c:numCache>
                <c:formatCode>General</c:formatCode>
                <c:ptCount val="1"/>
                <c:pt idx="0">
                  <c:v>-1980</c:v>
                </c:pt>
              </c:numCache>
            </c:numRef>
          </c:val>
          <c:extLst>
            <c:ext xmlns:c16="http://schemas.microsoft.com/office/drawing/2014/chart" uri="{C3380CC4-5D6E-409C-BE32-E72D297353CC}">
              <c16:uniqueId val="{00000008-EE7B-47A2-8EDF-920518BC31E2}"/>
            </c:ext>
          </c:extLst>
        </c:ser>
        <c:dLbls>
          <c:dLblPos val="outEnd"/>
          <c:showLegendKey val="0"/>
          <c:showVal val="1"/>
          <c:showCatName val="0"/>
          <c:showSerName val="0"/>
          <c:showPercent val="0"/>
          <c:showBubbleSize val="0"/>
        </c:dLbls>
        <c:gapWidth val="100"/>
        <c:overlap val="-24"/>
        <c:axId val="1890286752"/>
        <c:axId val="1890295872"/>
      </c:barChart>
      <c:catAx>
        <c:axId val="18902867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890295872"/>
        <c:crosses val="autoZero"/>
        <c:auto val="1"/>
        <c:lblAlgn val="ctr"/>
        <c:lblOffset val="100"/>
        <c:noMultiLvlLbl val="0"/>
      </c:catAx>
      <c:valAx>
        <c:axId val="1890295872"/>
        <c:scaling>
          <c:orientation val="minMax"/>
        </c:scaling>
        <c:delete val="0"/>
        <c:axPos val="l"/>
        <c:majorGridlines>
          <c:spPr>
            <a:ln w="9525" cap="flat" cmpd="sng" algn="ctr">
              <a:solidFill>
                <a:schemeClr val="tx1">
                  <a:lumMod val="15000"/>
                  <a:lumOff val="85000"/>
                </a:schemeClr>
              </a:solidFill>
              <a:round/>
            </a:ln>
            <a:effectLst/>
          </c:spPr>
        </c:majorGridlines>
        <c:numFmt formatCode="\$#,##0.00_);\(\$#,##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89028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ln>
            <a:noFill/>
          </a:ln>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Main!$J$26</c:f>
              <c:strCache>
                <c:ptCount val="1"/>
                <c:pt idx="0">
                  <c:v>NFLX</c:v>
                </c:pt>
              </c:strCache>
            </c:strRef>
          </c:tx>
          <c:spPr>
            <a:ln w="28575" cap="rnd">
              <a:solidFill>
                <a:schemeClr val="accent1"/>
              </a:solidFill>
              <a:round/>
            </a:ln>
            <a:effectLst/>
          </c:spPr>
          <c:marker>
            <c:symbol val="none"/>
          </c:marker>
          <c:cat>
            <c:numRef>
              <c:f>Charting!$B$8:$B$69</c:f>
              <c:numCache>
                <c:formatCode>m/d/yyyy</c:formatCode>
                <c:ptCount val="62"/>
                <c:pt idx="0">
                  <c:v>46034</c:v>
                </c:pt>
                <c:pt idx="1">
                  <c:v>46035</c:v>
                </c:pt>
                <c:pt idx="2">
                  <c:v>46036</c:v>
                </c:pt>
                <c:pt idx="3">
                  <c:v>46037</c:v>
                </c:pt>
                <c:pt idx="4">
                  <c:v>46038</c:v>
                </c:pt>
                <c:pt idx="5">
                  <c:v>46042</c:v>
                </c:pt>
                <c:pt idx="6">
                  <c:v>46043</c:v>
                </c:pt>
                <c:pt idx="7">
                  <c:v>46044</c:v>
                </c:pt>
                <c:pt idx="8">
                  <c:v>46045</c:v>
                </c:pt>
                <c:pt idx="9">
                  <c:v>46048</c:v>
                </c:pt>
                <c:pt idx="10">
                  <c:v>46049</c:v>
                </c:pt>
                <c:pt idx="11">
                  <c:v>46050</c:v>
                </c:pt>
                <c:pt idx="12">
                  <c:v>46051</c:v>
                </c:pt>
                <c:pt idx="13">
                  <c:v>46052</c:v>
                </c:pt>
                <c:pt idx="14">
                  <c:v>46055</c:v>
                </c:pt>
                <c:pt idx="15">
                  <c:v>46056</c:v>
                </c:pt>
                <c:pt idx="16">
                  <c:v>46057</c:v>
                </c:pt>
                <c:pt idx="17">
                  <c:v>46058</c:v>
                </c:pt>
                <c:pt idx="18">
                  <c:v>46059</c:v>
                </c:pt>
                <c:pt idx="19">
                  <c:v>46062</c:v>
                </c:pt>
                <c:pt idx="20">
                  <c:v>46063</c:v>
                </c:pt>
                <c:pt idx="21">
                  <c:v>46064</c:v>
                </c:pt>
                <c:pt idx="22">
                  <c:v>46065</c:v>
                </c:pt>
                <c:pt idx="23">
                  <c:v>46066</c:v>
                </c:pt>
                <c:pt idx="24">
                  <c:v>46070</c:v>
                </c:pt>
                <c:pt idx="25">
                  <c:v>46071</c:v>
                </c:pt>
                <c:pt idx="26">
                  <c:v>46072</c:v>
                </c:pt>
                <c:pt idx="27">
                  <c:v>46073</c:v>
                </c:pt>
                <c:pt idx="28">
                  <c:v>46076</c:v>
                </c:pt>
                <c:pt idx="29">
                  <c:v>46077</c:v>
                </c:pt>
                <c:pt idx="30">
                  <c:v>46078</c:v>
                </c:pt>
                <c:pt idx="31">
                  <c:v>46079</c:v>
                </c:pt>
                <c:pt idx="32">
                  <c:v>46080</c:v>
                </c:pt>
                <c:pt idx="33">
                  <c:v>46083</c:v>
                </c:pt>
                <c:pt idx="34">
                  <c:v>46084</c:v>
                </c:pt>
                <c:pt idx="35">
                  <c:v>46085</c:v>
                </c:pt>
                <c:pt idx="36">
                  <c:v>46086</c:v>
                </c:pt>
                <c:pt idx="37">
                  <c:v>46087</c:v>
                </c:pt>
                <c:pt idx="38">
                  <c:v>46090</c:v>
                </c:pt>
                <c:pt idx="39">
                  <c:v>46091</c:v>
                </c:pt>
                <c:pt idx="40">
                  <c:v>46092</c:v>
                </c:pt>
                <c:pt idx="41">
                  <c:v>46093</c:v>
                </c:pt>
                <c:pt idx="42">
                  <c:v>46094</c:v>
                </c:pt>
                <c:pt idx="43">
                  <c:v>46097</c:v>
                </c:pt>
                <c:pt idx="44">
                  <c:v>46098</c:v>
                </c:pt>
                <c:pt idx="45">
                  <c:v>46099</c:v>
                </c:pt>
                <c:pt idx="46">
                  <c:v>46100</c:v>
                </c:pt>
                <c:pt idx="47">
                  <c:v>46101</c:v>
                </c:pt>
                <c:pt idx="48">
                  <c:v>46104</c:v>
                </c:pt>
                <c:pt idx="49">
                  <c:v>46105</c:v>
                </c:pt>
                <c:pt idx="50">
                  <c:v>46106</c:v>
                </c:pt>
                <c:pt idx="51">
                  <c:v>46107</c:v>
                </c:pt>
                <c:pt idx="52">
                  <c:v>46108</c:v>
                </c:pt>
                <c:pt idx="53">
                  <c:v>46111</c:v>
                </c:pt>
                <c:pt idx="54">
                  <c:v>46112</c:v>
                </c:pt>
                <c:pt idx="55">
                  <c:v>46113</c:v>
                </c:pt>
                <c:pt idx="56">
                  <c:v>46114</c:v>
                </c:pt>
                <c:pt idx="57">
                  <c:v>46118</c:v>
                </c:pt>
                <c:pt idx="58">
                  <c:v>46119</c:v>
                </c:pt>
                <c:pt idx="59">
                  <c:v>46120</c:v>
                </c:pt>
                <c:pt idx="60">
                  <c:v>46121</c:v>
                </c:pt>
              </c:numCache>
            </c:numRef>
          </c:cat>
          <c:val>
            <c:numRef>
              <c:f>Charting!$C$8:$C$69</c:f>
              <c:numCache>
                <c:formatCode>[$$-C09]#,##0.00;\-[$$-C09]#,##0.00</c:formatCode>
                <c:ptCount val="62"/>
                <c:pt idx="0">
                  <c:v>89.41</c:v>
                </c:pt>
                <c:pt idx="1">
                  <c:v>90.32</c:v>
                </c:pt>
                <c:pt idx="2">
                  <c:v>88.55</c:v>
                </c:pt>
                <c:pt idx="3">
                  <c:v>88.05</c:v>
                </c:pt>
                <c:pt idx="4">
                  <c:v>88</c:v>
                </c:pt>
                <c:pt idx="5">
                  <c:v>87.26</c:v>
                </c:pt>
                <c:pt idx="6">
                  <c:v>85.36</c:v>
                </c:pt>
                <c:pt idx="7">
                  <c:v>83.54</c:v>
                </c:pt>
                <c:pt idx="8">
                  <c:v>86.12</c:v>
                </c:pt>
                <c:pt idx="9">
                  <c:v>85.7</c:v>
                </c:pt>
                <c:pt idx="10">
                  <c:v>85.58</c:v>
                </c:pt>
                <c:pt idx="11">
                  <c:v>84.64</c:v>
                </c:pt>
                <c:pt idx="12">
                  <c:v>83.16</c:v>
                </c:pt>
                <c:pt idx="13">
                  <c:v>83.49</c:v>
                </c:pt>
                <c:pt idx="14">
                  <c:v>82.76</c:v>
                </c:pt>
                <c:pt idx="15">
                  <c:v>79.94</c:v>
                </c:pt>
                <c:pt idx="16">
                  <c:v>80.16</c:v>
                </c:pt>
                <c:pt idx="17">
                  <c:v>80.87</c:v>
                </c:pt>
                <c:pt idx="18">
                  <c:v>82.2</c:v>
                </c:pt>
                <c:pt idx="19">
                  <c:v>81.47</c:v>
                </c:pt>
                <c:pt idx="20">
                  <c:v>82.21</c:v>
                </c:pt>
                <c:pt idx="21">
                  <c:v>79.62</c:v>
                </c:pt>
                <c:pt idx="22">
                  <c:v>75.86</c:v>
                </c:pt>
                <c:pt idx="23">
                  <c:v>76.87</c:v>
                </c:pt>
                <c:pt idx="24">
                  <c:v>77</c:v>
                </c:pt>
                <c:pt idx="25">
                  <c:v>77.989999999999995</c:v>
                </c:pt>
                <c:pt idx="26">
                  <c:v>77</c:v>
                </c:pt>
                <c:pt idx="27">
                  <c:v>78.67</c:v>
                </c:pt>
                <c:pt idx="28">
                  <c:v>76.02</c:v>
                </c:pt>
                <c:pt idx="29">
                  <c:v>78.040000000000006</c:v>
                </c:pt>
                <c:pt idx="30">
                  <c:v>82.7</c:v>
                </c:pt>
                <c:pt idx="31">
                  <c:v>84.59</c:v>
                </c:pt>
                <c:pt idx="32">
                  <c:v>96.24</c:v>
                </c:pt>
                <c:pt idx="33">
                  <c:v>97.09</c:v>
                </c:pt>
                <c:pt idx="34">
                  <c:v>97.7</c:v>
                </c:pt>
                <c:pt idx="35">
                  <c:v>98.66</c:v>
                </c:pt>
                <c:pt idx="36">
                  <c:v>99.17</c:v>
                </c:pt>
                <c:pt idx="37">
                  <c:v>99.02</c:v>
                </c:pt>
                <c:pt idx="38">
                  <c:v>98.32</c:v>
                </c:pt>
                <c:pt idx="39">
                  <c:v>96.94</c:v>
                </c:pt>
                <c:pt idx="40">
                  <c:v>94.89</c:v>
                </c:pt>
                <c:pt idx="41">
                  <c:v>94.31</c:v>
                </c:pt>
                <c:pt idx="42">
                  <c:v>95.31</c:v>
                </c:pt>
                <c:pt idx="43">
                  <c:v>95.2</c:v>
                </c:pt>
                <c:pt idx="44">
                  <c:v>94.36</c:v>
                </c:pt>
                <c:pt idx="45">
                  <c:v>94.7</c:v>
                </c:pt>
                <c:pt idx="46">
                  <c:v>91.74</c:v>
                </c:pt>
                <c:pt idx="47">
                  <c:v>91.82</c:v>
                </c:pt>
                <c:pt idx="48">
                  <c:v>93.38</c:v>
                </c:pt>
                <c:pt idx="49">
                  <c:v>90.92</c:v>
                </c:pt>
                <c:pt idx="50">
                  <c:v>92.28</c:v>
                </c:pt>
                <c:pt idx="51">
                  <c:v>93.32</c:v>
                </c:pt>
                <c:pt idx="52">
                  <c:v>93.43</c:v>
                </c:pt>
                <c:pt idx="53">
                  <c:v>92.97</c:v>
                </c:pt>
                <c:pt idx="54">
                  <c:v>96.15</c:v>
                </c:pt>
                <c:pt idx="55">
                  <c:v>95.55</c:v>
                </c:pt>
                <c:pt idx="56">
                  <c:v>98.66</c:v>
                </c:pt>
                <c:pt idx="57">
                  <c:v>98.93</c:v>
                </c:pt>
                <c:pt idx="58">
                  <c:v>98.82</c:v>
                </c:pt>
                <c:pt idx="59">
                  <c:v>99.39</c:v>
                </c:pt>
                <c:pt idx="60">
                  <c:v>102.05</c:v>
                </c:pt>
              </c:numCache>
            </c:numRef>
          </c:val>
          <c:smooth val="0"/>
          <c:extLst>
            <c:ext xmlns:c16="http://schemas.microsoft.com/office/drawing/2014/chart" uri="{C3380CC4-5D6E-409C-BE32-E72D297353CC}">
              <c16:uniqueId val="{00000000-DD41-4E9A-9FA0-4BA830604ACC}"/>
            </c:ext>
          </c:extLst>
        </c:ser>
        <c:ser>
          <c:idx val="1"/>
          <c:order val="1"/>
          <c:tx>
            <c:strRef>
              <c:f>Main!$J$48</c:f>
              <c:strCache>
                <c:ptCount val="1"/>
                <c:pt idx="0">
                  <c:v>TSLA</c:v>
                </c:pt>
              </c:strCache>
            </c:strRef>
          </c:tx>
          <c:spPr>
            <a:ln w="28575" cap="rnd">
              <a:solidFill>
                <a:schemeClr val="accent2"/>
              </a:solidFill>
              <a:round/>
            </a:ln>
            <a:effectLst/>
          </c:spPr>
          <c:marker>
            <c:symbol val="none"/>
          </c:marker>
          <c:cat>
            <c:numRef>
              <c:f>Charting!$B$8:$B$69</c:f>
              <c:numCache>
                <c:formatCode>m/d/yyyy</c:formatCode>
                <c:ptCount val="62"/>
                <c:pt idx="0">
                  <c:v>46034</c:v>
                </c:pt>
                <c:pt idx="1">
                  <c:v>46035</c:v>
                </c:pt>
                <c:pt idx="2">
                  <c:v>46036</c:v>
                </c:pt>
                <c:pt idx="3">
                  <c:v>46037</c:v>
                </c:pt>
                <c:pt idx="4">
                  <c:v>46038</c:v>
                </c:pt>
                <c:pt idx="5">
                  <c:v>46042</c:v>
                </c:pt>
                <c:pt idx="6">
                  <c:v>46043</c:v>
                </c:pt>
                <c:pt idx="7">
                  <c:v>46044</c:v>
                </c:pt>
                <c:pt idx="8">
                  <c:v>46045</c:v>
                </c:pt>
                <c:pt idx="9">
                  <c:v>46048</c:v>
                </c:pt>
                <c:pt idx="10">
                  <c:v>46049</c:v>
                </c:pt>
                <c:pt idx="11">
                  <c:v>46050</c:v>
                </c:pt>
                <c:pt idx="12">
                  <c:v>46051</c:v>
                </c:pt>
                <c:pt idx="13">
                  <c:v>46052</c:v>
                </c:pt>
                <c:pt idx="14">
                  <c:v>46055</c:v>
                </c:pt>
                <c:pt idx="15">
                  <c:v>46056</c:v>
                </c:pt>
                <c:pt idx="16">
                  <c:v>46057</c:v>
                </c:pt>
                <c:pt idx="17">
                  <c:v>46058</c:v>
                </c:pt>
                <c:pt idx="18">
                  <c:v>46059</c:v>
                </c:pt>
                <c:pt idx="19">
                  <c:v>46062</c:v>
                </c:pt>
                <c:pt idx="20">
                  <c:v>46063</c:v>
                </c:pt>
                <c:pt idx="21">
                  <c:v>46064</c:v>
                </c:pt>
                <c:pt idx="22">
                  <c:v>46065</c:v>
                </c:pt>
                <c:pt idx="23">
                  <c:v>46066</c:v>
                </c:pt>
                <c:pt idx="24">
                  <c:v>46070</c:v>
                </c:pt>
                <c:pt idx="25">
                  <c:v>46071</c:v>
                </c:pt>
                <c:pt idx="26">
                  <c:v>46072</c:v>
                </c:pt>
                <c:pt idx="27">
                  <c:v>46073</c:v>
                </c:pt>
                <c:pt idx="28">
                  <c:v>46076</c:v>
                </c:pt>
                <c:pt idx="29">
                  <c:v>46077</c:v>
                </c:pt>
                <c:pt idx="30">
                  <c:v>46078</c:v>
                </c:pt>
                <c:pt idx="31">
                  <c:v>46079</c:v>
                </c:pt>
                <c:pt idx="32">
                  <c:v>46080</c:v>
                </c:pt>
                <c:pt idx="33">
                  <c:v>46083</c:v>
                </c:pt>
                <c:pt idx="34">
                  <c:v>46084</c:v>
                </c:pt>
                <c:pt idx="35">
                  <c:v>46085</c:v>
                </c:pt>
                <c:pt idx="36">
                  <c:v>46086</c:v>
                </c:pt>
                <c:pt idx="37">
                  <c:v>46087</c:v>
                </c:pt>
                <c:pt idx="38">
                  <c:v>46090</c:v>
                </c:pt>
                <c:pt idx="39">
                  <c:v>46091</c:v>
                </c:pt>
                <c:pt idx="40">
                  <c:v>46092</c:v>
                </c:pt>
                <c:pt idx="41">
                  <c:v>46093</c:v>
                </c:pt>
                <c:pt idx="42">
                  <c:v>46094</c:v>
                </c:pt>
                <c:pt idx="43">
                  <c:v>46097</c:v>
                </c:pt>
                <c:pt idx="44">
                  <c:v>46098</c:v>
                </c:pt>
                <c:pt idx="45">
                  <c:v>46099</c:v>
                </c:pt>
                <c:pt idx="46">
                  <c:v>46100</c:v>
                </c:pt>
                <c:pt idx="47">
                  <c:v>46101</c:v>
                </c:pt>
                <c:pt idx="48">
                  <c:v>46104</c:v>
                </c:pt>
                <c:pt idx="49">
                  <c:v>46105</c:v>
                </c:pt>
                <c:pt idx="50">
                  <c:v>46106</c:v>
                </c:pt>
                <c:pt idx="51">
                  <c:v>46107</c:v>
                </c:pt>
                <c:pt idx="52">
                  <c:v>46108</c:v>
                </c:pt>
                <c:pt idx="53">
                  <c:v>46111</c:v>
                </c:pt>
                <c:pt idx="54">
                  <c:v>46112</c:v>
                </c:pt>
                <c:pt idx="55">
                  <c:v>46113</c:v>
                </c:pt>
                <c:pt idx="56">
                  <c:v>46114</c:v>
                </c:pt>
                <c:pt idx="57">
                  <c:v>46118</c:v>
                </c:pt>
                <c:pt idx="58">
                  <c:v>46119</c:v>
                </c:pt>
                <c:pt idx="59">
                  <c:v>46120</c:v>
                </c:pt>
                <c:pt idx="60">
                  <c:v>46121</c:v>
                </c:pt>
              </c:numCache>
            </c:numRef>
          </c:cat>
          <c:val>
            <c:numRef>
              <c:f>Charting!$F$8:$F$69</c:f>
              <c:numCache>
                <c:formatCode>[$$-C09]#,##0.00;\-[$$-C09]#,##0.00</c:formatCode>
                <c:ptCount val="62"/>
                <c:pt idx="0">
                  <c:v>448.96</c:v>
                </c:pt>
                <c:pt idx="1">
                  <c:v>447.2</c:v>
                </c:pt>
                <c:pt idx="2">
                  <c:v>439.2</c:v>
                </c:pt>
                <c:pt idx="3">
                  <c:v>438.57</c:v>
                </c:pt>
                <c:pt idx="4">
                  <c:v>437.5</c:v>
                </c:pt>
                <c:pt idx="5">
                  <c:v>419.25</c:v>
                </c:pt>
                <c:pt idx="6">
                  <c:v>431.44</c:v>
                </c:pt>
                <c:pt idx="7">
                  <c:v>449.36</c:v>
                </c:pt>
                <c:pt idx="8">
                  <c:v>449.06</c:v>
                </c:pt>
                <c:pt idx="9">
                  <c:v>435.2</c:v>
                </c:pt>
                <c:pt idx="10">
                  <c:v>430.9</c:v>
                </c:pt>
                <c:pt idx="11">
                  <c:v>431.46</c:v>
                </c:pt>
                <c:pt idx="12">
                  <c:v>416.56</c:v>
                </c:pt>
                <c:pt idx="13">
                  <c:v>430.41</c:v>
                </c:pt>
                <c:pt idx="14">
                  <c:v>421.81</c:v>
                </c:pt>
                <c:pt idx="15">
                  <c:v>421.96</c:v>
                </c:pt>
                <c:pt idx="16">
                  <c:v>406.01</c:v>
                </c:pt>
                <c:pt idx="17">
                  <c:v>397.21</c:v>
                </c:pt>
                <c:pt idx="18">
                  <c:v>411.11</c:v>
                </c:pt>
                <c:pt idx="19">
                  <c:v>417.32</c:v>
                </c:pt>
                <c:pt idx="20">
                  <c:v>425.21</c:v>
                </c:pt>
                <c:pt idx="21">
                  <c:v>428.27</c:v>
                </c:pt>
                <c:pt idx="22">
                  <c:v>417.07</c:v>
                </c:pt>
                <c:pt idx="23">
                  <c:v>417.44</c:v>
                </c:pt>
                <c:pt idx="24">
                  <c:v>410.63</c:v>
                </c:pt>
                <c:pt idx="25">
                  <c:v>411.32</c:v>
                </c:pt>
                <c:pt idx="26">
                  <c:v>411.71</c:v>
                </c:pt>
                <c:pt idx="27">
                  <c:v>411.82</c:v>
                </c:pt>
                <c:pt idx="28">
                  <c:v>399.83</c:v>
                </c:pt>
                <c:pt idx="29">
                  <c:v>409.38</c:v>
                </c:pt>
                <c:pt idx="30">
                  <c:v>417.4</c:v>
                </c:pt>
                <c:pt idx="31">
                  <c:v>408.58</c:v>
                </c:pt>
                <c:pt idx="32">
                  <c:v>402.51</c:v>
                </c:pt>
                <c:pt idx="33">
                  <c:v>403.32</c:v>
                </c:pt>
                <c:pt idx="34">
                  <c:v>392.43</c:v>
                </c:pt>
                <c:pt idx="35">
                  <c:v>405.94</c:v>
                </c:pt>
                <c:pt idx="36">
                  <c:v>405.55</c:v>
                </c:pt>
                <c:pt idx="37">
                  <c:v>396.73</c:v>
                </c:pt>
                <c:pt idx="38">
                  <c:v>398.68</c:v>
                </c:pt>
                <c:pt idx="39">
                  <c:v>399.23500000000001</c:v>
                </c:pt>
                <c:pt idx="40">
                  <c:v>407.82</c:v>
                </c:pt>
                <c:pt idx="41">
                  <c:v>395.01</c:v>
                </c:pt>
                <c:pt idx="42">
                  <c:v>391.2</c:v>
                </c:pt>
                <c:pt idx="43">
                  <c:v>395.56</c:v>
                </c:pt>
                <c:pt idx="44">
                  <c:v>399.27</c:v>
                </c:pt>
                <c:pt idx="45">
                  <c:v>392.78</c:v>
                </c:pt>
                <c:pt idx="46">
                  <c:v>380.3</c:v>
                </c:pt>
                <c:pt idx="47">
                  <c:v>367.96</c:v>
                </c:pt>
                <c:pt idx="48">
                  <c:v>380.85</c:v>
                </c:pt>
                <c:pt idx="49">
                  <c:v>383.03</c:v>
                </c:pt>
                <c:pt idx="50">
                  <c:v>385.95</c:v>
                </c:pt>
                <c:pt idx="51">
                  <c:v>372.11</c:v>
                </c:pt>
                <c:pt idx="52">
                  <c:v>361.83</c:v>
                </c:pt>
                <c:pt idx="53">
                  <c:v>355.28</c:v>
                </c:pt>
                <c:pt idx="54">
                  <c:v>371.75</c:v>
                </c:pt>
                <c:pt idx="55">
                  <c:v>381.26</c:v>
                </c:pt>
                <c:pt idx="56">
                  <c:v>360.59</c:v>
                </c:pt>
                <c:pt idx="57">
                  <c:v>352.82</c:v>
                </c:pt>
                <c:pt idx="58">
                  <c:v>346.65</c:v>
                </c:pt>
                <c:pt idx="59">
                  <c:v>343.25</c:v>
                </c:pt>
                <c:pt idx="60">
                  <c:v>345.62</c:v>
                </c:pt>
              </c:numCache>
            </c:numRef>
          </c:val>
          <c:smooth val="0"/>
          <c:extLst>
            <c:ext xmlns:c16="http://schemas.microsoft.com/office/drawing/2014/chart" uri="{C3380CC4-5D6E-409C-BE32-E72D297353CC}">
              <c16:uniqueId val="{00000001-DD41-4E9A-9FA0-4BA830604ACC}"/>
            </c:ext>
          </c:extLst>
        </c:ser>
        <c:dLbls>
          <c:showLegendKey val="0"/>
          <c:showVal val="0"/>
          <c:showCatName val="0"/>
          <c:showSerName val="0"/>
          <c:showPercent val="0"/>
          <c:showBubbleSize val="0"/>
        </c:dLbls>
        <c:smooth val="0"/>
        <c:axId val="1890279552"/>
        <c:axId val="1890296832"/>
      </c:lineChart>
      <c:dateAx>
        <c:axId val="189027955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296832"/>
        <c:crosses val="autoZero"/>
        <c:auto val="1"/>
        <c:lblOffset val="100"/>
        <c:baseTimeUnit val="days"/>
      </c:dateAx>
      <c:valAx>
        <c:axId val="1890296832"/>
        <c:scaling>
          <c:orientation val="minMax"/>
        </c:scaling>
        <c:delete val="0"/>
        <c:axPos val="l"/>
        <c:majorGridlines>
          <c:spPr>
            <a:ln w="9525" cap="flat" cmpd="sng" algn="ctr">
              <a:solidFill>
                <a:schemeClr val="tx1">
                  <a:lumMod val="15000"/>
                  <a:lumOff val="85000"/>
                </a:schemeClr>
              </a:solidFill>
              <a:round/>
            </a:ln>
            <a:effectLst/>
          </c:spPr>
        </c:majorGridlines>
        <c:numFmt formatCode="[$$-C09]#,##0.00;\-[$$-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279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numRef>
              <c:f>Charting!$B$8:$B$69</c:f>
              <c:numCache>
                <c:formatCode>m/d/yyyy</c:formatCode>
                <c:ptCount val="62"/>
                <c:pt idx="0">
                  <c:v>46034</c:v>
                </c:pt>
                <c:pt idx="1">
                  <c:v>46035</c:v>
                </c:pt>
                <c:pt idx="2">
                  <c:v>46036</c:v>
                </c:pt>
                <c:pt idx="3">
                  <c:v>46037</c:v>
                </c:pt>
                <c:pt idx="4">
                  <c:v>46038</c:v>
                </c:pt>
                <c:pt idx="5">
                  <c:v>46042</c:v>
                </c:pt>
                <c:pt idx="6">
                  <c:v>46043</c:v>
                </c:pt>
                <c:pt idx="7">
                  <c:v>46044</c:v>
                </c:pt>
                <c:pt idx="8">
                  <c:v>46045</c:v>
                </c:pt>
                <c:pt idx="9">
                  <c:v>46048</c:v>
                </c:pt>
                <c:pt idx="10">
                  <c:v>46049</c:v>
                </c:pt>
                <c:pt idx="11">
                  <c:v>46050</c:v>
                </c:pt>
                <c:pt idx="12">
                  <c:v>46051</c:v>
                </c:pt>
                <c:pt idx="13">
                  <c:v>46052</c:v>
                </c:pt>
                <c:pt idx="14">
                  <c:v>46055</c:v>
                </c:pt>
                <c:pt idx="15">
                  <c:v>46056</c:v>
                </c:pt>
                <c:pt idx="16">
                  <c:v>46057</c:v>
                </c:pt>
                <c:pt idx="17">
                  <c:v>46058</c:v>
                </c:pt>
                <c:pt idx="18">
                  <c:v>46059</c:v>
                </c:pt>
                <c:pt idx="19">
                  <c:v>46062</c:v>
                </c:pt>
                <c:pt idx="20">
                  <c:v>46063</c:v>
                </c:pt>
                <c:pt idx="21">
                  <c:v>46064</c:v>
                </c:pt>
                <c:pt idx="22">
                  <c:v>46065</c:v>
                </c:pt>
                <c:pt idx="23">
                  <c:v>46066</c:v>
                </c:pt>
                <c:pt idx="24">
                  <c:v>46070</c:v>
                </c:pt>
                <c:pt idx="25">
                  <c:v>46071</c:v>
                </c:pt>
                <c:pt idx="26">
                  <c:v>46072</c:v>
                </c:pt>
                <c:pt idx="27">
                  <c:v>46073</c:v>
                </c:pt>
                <c:pt idx="28">
                  <c:v>46076</c:v>
                </c:pt>
                <c:pt idx="29">
                  <c:v>46077</c:v>
                </c:pt>
                <c:pt idx="30">
                  <c:v>46078</c:v>
                </c:pt>
                <c:pt idx="31">
                  <c:v>46079</c:v>
                </c:pt>
                <c:pt idx="32">
                  <c:v>46080</c:v>
                </c:pt>
                <c:pt idx="33">
                  <c:v>46083</c:v>
                </c:pt>
                <c:pt idx="34">
                  <c:v>46084</c:v>
                </c:pt>
                <c:pt idx="35">
                  <c:v>46085</c:v>
                </c:pt>
                <c:pt idx="36">
                  <c:v>46086</c:v>
                </c:pt>
                <c:pt idx="37">
                  <c:v>46087</c:v>
                </c:pt>
                <c:pt idx="38">
                  <c:v>46090</c:v>
                </c:pt>
                <c:pt idx="39">
                  <c:v>46091</c:v>
                </c:pt>
                <c:pt idx="40">
                  <c:v>46092</c:v>
                </c:pt>
                <c:pt idx="41">
                  <c:v>46093</c:v>
                </c:pt>
                <c:pt idx="42">
                  <c:v>46094</c:v>
                </c:pt>
                <c:pt idx="43">
                  <c:v>46097</c:v>
                </c:pt>
                <c:pt idx="44">
                  <c:v>46098</c:v>
                </c:pt>
                <c:pt idx="45">
                  <c:v>46099</c:v>
                </c:pt>
                <c:pt idx="46">
                  <c:v>46100</c:v>
                </c:pt>
                <c:pt idx="47">
                  <c:v>46101</c:v>
                </c:pt>
                <c:pt idx="48">
                  <c:v>46104</c:v>
                </c:pt>
                <c:pt idx="49">
                  <c:v>46105</c:v>
                </c:pt>
                <c:pt idx="50">
                  <c:v>46106</c:v>
                </c:pt>
                <c:pt idx="51">
                  <c:v>46107</c:v>
                </c:pt>
                <c:pt idx="52">
                  <c:v>46108</c:v>
                </c:pt>
                <c:pt idx="53">
                  <c:v>46111</c:v>
                </c:pt>
                <c:pt idx="54">
                  <c:v>46112</c:v>
                </c:pt>
                <c:pt idx="55">
                  <c:v>46113</c:v>
                </c:pt>
                <c:pt idx="56">
                  <c:v>46114</c:v>
                </c:pt>
                <c:pt idx="57">
                  <c:v>46118</c:v>
                </c:pt>
                <c:pt idx="58">
                  <c:v>46119</c:v>
                </c:pt>
                <c:pt idx="59">
                  <c:v>46120</c:v>
                </c:pt>
                <c:pt idx="60">
                  <c:v>46121</c:v>
                </c:pt>
              </c:numCache>
            </c:numRef>
          </c:cat>
          <c:val>
            <c:numRef>
              <c:f>Charting!$C$8:$C$69</c:f>
              <c:numCache>
                <c:formatCode>[$$-C09]#,##0.00;\-[$$-C09]#,##0.00</c:formatCode>
                <c:ptCount val="62"/>
                <c:pt idx="0">
                  <c:v>89.41</c:v>
                </c:pt>
                <c:pt idx="1">
                  <c:v>90.32</c:v>
                </c:pt>
                <c:pt idx="2">
                  <c:v>88.55</c:v>
                </c:pt>
                <c:pt idx="3">
                  <c:v>88.05</c:v>
                </c:pt>
                <c:pt idx="4">
                  <c:v>88</c:v>
                </c:pt>
                <c:pt idx="5">
                  <c:v>87.26</c:v>
                </c:pt>
                <c:pt idx="6">
                  <c:v>85.36</c:v>
                </c:pt>
                <c:pt idx="7">
                  <c:v>83.54</c:v>
                </c:pt>
                <c:pt idx="8">
                  <c:v>86.12</c:v>
                </c:pt>
                <c:pt idx="9">
                  <c:v>85.7</c:v>
                </c:pt>
                <c:pt idx="10">
                  <c:v>85.58</c:v>
                </c:pt>
                <c:pt idx="11">
                  <c:v>84.64</c:v>
                </c:pt>
                <c:pt idx="12">
                  <c:v>83.16</c:v>
                </c:pt>
                <c:pt idx="13">
                  <c:v>83.49</c:v>
                </c:pt>
                <c:pt idx="14">
                  <c:v>82.76</c:v>
                </c:pt>
                <c:pt idx="15">
                  <c:v>79.94</c:v>
                </c:pt>
                <c:pt idx="16">
                  <c:v>80.16</c:v>
                </c:pt>
                <c:pt idx="17">
                  <c:v>80.87</c:v>
                </c:pt>
                <c:pt idx="18">
                  <c:v>82.2</c:v>
                </c:pt>
                <c:pt idx="19">
                  <c:v>81.47</c:v>
                </c:pt>
                <c:pt idx="20">
                  <c:v>82.21</c:v>
                </c:pt>
                <c:pt idx="21">
                  <c:v>79.62</c:v>
                </c:pt>
                <c:pt idx="22">
                  <c:v>75.86</c:v>
                </c:pt>
                <c:pt idx="23">
                  <c:v>76.87</c:v>
                </c:pt>
                <c:pt idx="24">
                  <c:v>77</c:v>
                </c:pt>
                <c:pt idx="25">
                  <c:v>77.989999999999995</c:v>
                </c:pt>
                <c:pt idx="26">
                  <c:v>77</c:v>
                </c:pt>
                <c:pt idx="27">
                  <c:v>78.67</c:v>
                </c:pt>
                <c:pt idx="28">
                  <c:v>76.02</c:v>
                </c:pt>
                <c:pt idx="29">
                  <c:v>78.040000000000006</c:v>
                </c:pt>
                <c:pt idx="30">
                  <c:v>82.7</c:v>
                </c:pt>
                <c:pt idx="31">
                  <c:v>84.59</c:v>
                </c:pt>
                <c:pt idx="32">
                  <c:v>96.24</c:v>
                </c:pt>
                <c:pt idx="33">
                  <c:v>97.09</c:v>
                </c:pt>
                <c:pt idx="34">
                  <c:v>97.7</c:v>
                </c:pt>
                <c:pt idx="35">
                  <c:v>98.66</c:v>
                </c:pt>
                <c:pt idx="36">
                  <c:v>99.17</c:v>
                </c:pt>
                <c:pt idx="37">
                  <c:v>99.02</c:v>
                </c:pt>
                <c:pt idx="38">
                  <c:v>98.32</c:v>
                </c:pt>
                <c:pt idx="39">
                  <c:v>96.94</c:v>
                </c:pt>
                <c:pt idx="40">
                  <c:v>94.89</c:v>
                </c:pt>
                <c:pt idx="41">
                  <c:v>94.31</c:v>
                </c:pt>
                <c:pt idx="42">
                  <c:v>95.31</c:v>
                </c:pt>
                <c:pt idx="43">
                  <c:v>95.2</c:v>
                </c:pt>
                <c:pt idx="44">
                  <c:v>94.36</c:v>
                </c:pt>
                <c:pt idx="45">
                  <c:v>94.7</c:v>
                </c:pt>
                <c:pt idx="46">
                  <c:v>91.74</c:v>
                </c:pt>
                <c:pt idx="47">
                  <c:v>91.82</c:v>
                </c:pt>
                <c:pt idx="48">
                  <c:v>93.38</c:v>
                </c:pt>
                <c:pt idx="49">
                  <c:v>90.92</c:v>
                </c:pt>
                <c:pt idx="50">
                  <c:v>92.28</c:v>
                </c:pt>
                <c:pt idx="51">
                  <c:v>93.32</c:v>
                </c:pt>
                <c:pt idx="52">
                  <c:v>93.43</c:v>
                </c:pt>
                <c:pt idx="53">
                  <c:v>92.97</c:v>
                </c:pt>
                <c:pt idx="54">
                  <c:v>96.15</c:v>
                </c:pt>
                <c:pt idx="55">
                  <c:v>95.55</c:v>
                </c:pt>
                <c:pt idx="56">
                  <c:v>98.66</c:v>
                </c:pt>
                <c:pt idx="57">
                  <c:v>98.93</c:v>
                </c:pt>
                <c:pt idx="58">
                  <c:v>98.82</c:v>
                </c:pt>
                <c:pt idx="59">
                  <c:v>99.39</c:v>
                </c:pt>
                <c:pt idx="60">
                  <c:v>102.05</c:v>
                </c:pt>
              </c:numCache>
            </c:numRef>
          </c:val>
          <c:smooth val="0"/>
          <c:extLst>
            <c:ext xmlns:c16="http://schemas.microsoft.com/office/drawing/2014/chart" uri="{C3380CC4-5D6E-409C-BE32-E72D297353CC}">
              <c16:uniqueId val="{00000000-B295-472C-960A-38414AF7389A}"/>
            </c:ext>
          </c:extLst>
        </c:ser>
        <c:ser>
          <c:idx val="1"/>
          <c:order val="1"/>
          <c:spPr>
            <a:ln w="28575" cap="rnd">
              <a:solidFill>
                <a:schemeClr val="accent2"/>
              </a:solidFill>
              <a:round/>
            </a:ln>
            <a:effectLst/>
          </c:spPr>
          <c:marker>
            <c:symbol val="none"/>
          </c:marker>
          <c:cat>
            <c:numRef>
              <c:f>Charting!$B$8:$B$69</c:f>
              <c:numCache>
                <c:formatCode>m/d/yyyy</c:formatCode>
                <c:ptCount val="62"/>
                <c:pt idx="0">
                  <c:v>46034</c:v>
                </c:pt>
                <c:pt idx="1">
                  <c:v>46035</c:v>
                </c:pt>
                <c:pt idx="2">
                  <c:v>46036</c:v>
                </c:pt>
                <c:pt idx="3">
                  <c:v>46037</c:v>
                </c:pt>
                <c:pt idx="4">
                  <c:v>46038</c:v>
                </c:pt>
                <c:pt idx="5">
                  <c:v>46042</c:v>
                </c:pt>
                <c:pt idx="6">
                  <c:v>46043</c:v>
                </c:pt>
                <c:pt idx="7">
                  <c:v>46044</c:v>
                </c:pt>
                <c:pt idx="8">
                  <c:v>46045</c:v>
                </c:pt>
                <c:pt idx="9">
                  <c:v>46048</c:v>
                </c:pt>
                <c:pt idx="10">
                  <c:v>46049</c:v>
                </c:pt>
                <c:pt idx="11">
                  <c:v>46050</c:v>
                </c:pt>
                <c:pt idx="12">
                  <c:v>46051</c:v>
                </c:pt>
                <c:pt idx="13">
                  <c:v>46052</c:v>
                </c:pt>
                <c:pt idx="14">
                  <c:v>46055</c:v>
                </c:pt>
                <c:pt idx="15">
                  <c:v>46056</c:v>
                </c:pt>
                <c:pt idx="16">
                  <c:v>46057</c:v>
                </c:pt>
                <c:pt idx="17">
                  <c:v>46058</c:v>
                </c:pt>
                <c:pt idx="18">
                  <c:v>46059</c:v>
                </c:pt>
                <c:pt idx="19">
                  <c:v>46062</c:v>
                </c:pt>
                <c:pt idx="20">
                  <c:v>46063</c:v>
                </c:pt>
                <c:pt idx="21">
                  <c:v>46064</c:v>
                </c:pt>
                <c:pt idx="22">
                  <c:v>46065</c:v>
                </c:pt>
                <c:pt idx="23">
                  <c:v>46066</c:v>
                </c:pt>
                <c:pt idx="24">
                  <c:v>46070</c:v>
                </c:pt>
                <c:pt idx="25">
                  <c:v>46071</c:v>
                </c:pt>
                <c:pt idx="26">
                  <c:v>46072</c:v>
                </c:pt>
                <c:pt idx="27">
                  <c:v>46073</c:v>
                </c:pt>
                <c:pt idx="28">
                  <c:v>46076</c:v>
                </c:pt>
                <c:pt idx="29">
                  <c:v>46077</c:v>
                </c:pt>
                <c:pt idx="30">
                  <c:v>46078</c:v>
                </c:pt>
                <c:pt idx="31">
                  <c:v>46079</c:v>
                </c:pt>
                <c:pt idx="32">
                  <c:v>46080</c:v>
                </c:pt>
                <c:pt idx="33">
                  <c:v>46083</c:v>
                </c:pt>
                <c:pt idx="34">
                  <c:v>46084</c:v>
                </c:pt>
                <c:pt idx="35">
                  <c:v>46085</c:v>
                </c:pt>
                <c:pt idx="36">
                  <c:v>46086</c:v>
                </c:pt>
                <c:pt idx="37">
                  <c:v>46087</c:v>
                </c:pt>
                <c:pt idx="38">
                  <c:v>46090</c:v>
                </c:pt>
                <c:pt idx="39">
                  <c:v>46091</c:v>
                </c:pt>
                <c:pt idx="40">
                  <c:v>46092</c:v>
                </c:pt>
                <c:pt idx="41">
                  <c:v>46093</c:v>
                </c:pt>
                <c:pt idx="42">
                  <c:v>46094</c:v>
                </c:pt>
                <c:pt idx="43">
                  <c:v>46097</c:v>
                </c:pt>
                <c:pt idx="44">
                  <c:v>46098</c:v>
                </c:pt>
                <c:pt idx="45">
                  <c:v>46099</c:v>
                </c:pt>
                <c:pt idx="46">
                  <c:v>46100</c:v>
                </c:pt>
                <c:pt idx="47">
                  <c:v>46101</c:v>
                </c:pt>
                <c:pt idx="48">
                  <c:v>46104</c:v>
                </c:pt>
                <c:pt idx="49">
                  <c:v>46105</c:v>
                </c:pt>
                <c:pt idx="50">
                  <c:v>46106</c:v>
                </c:pt>
                <c:pt idx="51">
                  <c:v>46107</c:v>
                </c:pt>
                <c:pt idx="52">
                  <c:v>46108</c:v>
                </c:pt>
                <c:pt idx="53">
                  <c:v>46111</c:v>
                </c:pt>
                <c:pt idx="54">
                  <c:v>46112</c:v>
                </c:pt>
                <c:pt idx="55">
                  <c:v>46113</c:v>
                </c:pt>
                <c:pt idx="56">
                  <c:v>46114</c:v>
                </c:pt>
                <c:pt idx="57">
                  <c:v>46118</c:v>
                </c:pt>
                <c:pt idx="58">
                  <c:v>46119</c:v>
                </c:pt>
                <c:pt idx="59">
                  <c:v>46120</c:v>
                </c:pt>
                <c:pt idx="60">
                  <c:v>46121</c:v>
                </c:pt>
              </c:numCache>
            </c:numRef>
          </c:cat>
          <c:val>
            <c:numRef>
              <c:f>Charting!$F$8:$F$69</c:f>
              <c:numCache>
                <c:formatCode>[$$-C09]#,##0.00;\-[$$-C09]#,##0.00</c:formatCode>
                <c:ptCount val="62"/>
                <c:pt idx="0">
                  <c:v>448.96</c:v>
                </c:pt>
                <c:pt idx="1">
                  <c:v>447.2</c:v>
                </c:pt>
                <c:pt idx="2">
                  <c:v>439.2</c:v>
                </c:pt>
                <c:pt idx="3">
                  <c:v>438.57</c:v>
                </c:pt>
                <c:pt idx="4">
                  <c:v>437.5</c:v>
                </c:pt>
                <c:pt idx="5">
                  <c:v>419.25</c:v>
                </c:pt>
                <c:pt idx="6">
                  <c:v>431.44</c:v>
                </c:pt>
                <c:pt idx="7">
                  <c:v>449.36</c:v>
                </c:pt>
                <c:pt idx="8">
                  <c:v>449.06</c:v>
                </c:pt>
                <c:pt idx="9">
                  <c:v>435.2</c:v>
                </c:pt>
                <c:pt idx="10">
                  <c:v>430.9</c:v>
                </c:pt>
                <c:pt idx="11">
                  <c:v>431.46</c:v>
                </c:pt>
                <c:pt idx="12">
                  <c:v>416.56</c:v>
                </c:pt>
                <c:pt idx="13">
                  <c:v>430.41</c:v>
                </c:pt>
                <c:pt idx="14">
                  <c:v>421.81</c:v>
                </c:pt>
                <c:pt idx="15">
                  <c:v>421.96</c:v>
                </c:pt>
                <c:pt idx="16">
                  <c:v>406.01</c:v>
                </c:pt>
                <c:pt idx="17">
                  <c:v>397.21</c:v>
                </c:pt>
                <c:pt idx="18">
                  <c:v>411.11</c:v>
                </c:pt>
                <c:pt idx="19">
                  <c:v>417.32</c:v>
                </c:pt>
                <c:pt idx="20">
                  <c:v>425.21</c:v>
                </c:pt>
                <c:pt idx="21">
                  <c:v>428.27</c:v>
                </c:pt>
                <c:pt idx="22">
                  <c:v>417.07</c:v>
                </c:pt>
                <c:pt idx="23">
                  <c:v>417.44</c:v>
                </c:pt>
                <c:pt idx="24">
                  <c:v>410.63</c:v>
                </c:pt>
                <c:pt idx="25">
                  <c:v>411.32</c:v>
                </c:pt>
                <c:pt idx="26">
                  <c:v>411.71</c:v>
                </c:pt>
                <c:pt idx="27">
                  <c:v>411.82</c:v>
                </c:pt>
                <c:pt idx="28">
                  <c:v>399.83</c:v>
                </c:pt>
                <c:pt idx="29">
                  <c:v>409.38</c:v>
                </c:pt>
                <c:pt idx="30">
                  <c:v>417.4</c:v>
                </c:pt>
                <c:pt idx="31">
                  <c:v>408.58</c:v>
                </c:pt>
                <c:pt idx="32">
                  <c:v>402.51</c:v>
                </c:pt>
                <c:pt idx="33">
                  <c:v>403.32</c:v>
                </c:pt>
                <c:pt idx="34">
                  <c:v>392.43</c:v>
                </c:pt>
                <c:pt idx="35">
                  <c:v>405.94</c:v>
                </c:pt>
                <c:pt idx="36">
                  <c:v>405.55</c:v>
                </c:pt>
                <c:pt idx="37">
                  <c:v>396.73</c:v>
                </c:pt>
                <c:pt idx="38">
                  <c:v>398.68</c:v>
                </c:pt>
                <c:pt idx="39">
                  <c:v>399.23500000000001</c:v>
                </c:pt>
                <c:pt idx="40">
                  <c:v>407.82</c:v>
                </c:pt>
                <c:pt idx="41">
                  <c:v>395.01</c:v>
                </c:pt>
                <c:pt idx="42">
                  <c:v>391.2</c:v>
                </c:pt>
                <c:pt idx="43">
                  <c:v>395.56</c:v>
                </c:pt>
                <c:pt idx="44">
                  <c:v>399.27</c:v>
                </c:pt>
                <c:pt idx="45">
                  <c:v>392.78</c:v>
                </c:pt>
                <c:pt idx="46">
                  <c:v>380.3</c:v>
                </c:pt>
                <c:pt idx="47">
                  <c:v>367.96</c:v>
                </c:pt>
                <c:pt idx="48">
                  <c:v>380.85</c:v>
                </c:pt>
                <c:pt idx="49">
                  <c:v>383.03</c:v>
                </c:pt>
                <c:pt idx="50">
                  <c:v>385.95</c:v>
                </c:pt>
                <c:pt idx="51">
                  <c:v>372.11</c:v>
                </c:pt>
                <c:pt idx="52">
                  <c:v>361.83</c:v>
                </c:pt>
                <c:pt idx="53">
                  <c:v>355.28</c:v>
                </c:pt>
                <c:pt idx="54">
                  <c:v>371.75</c:v>
                </c:pt>
                <c:pt idx="55">
                  <c:v>381.26</c:v>
                </c:pt>
                <c:pt idx="56">
                  <c:v>360.59</c:v>
                </c:pt>
                <c:pt idx="57">
                  <c:v>352.82</c:v>
                </c:pt>
                <c:pt idx="58">
                  <c:v>346.65</c:v>
                </c:pt>
                <c:pt idx="59">
                  <c:v>343.25</c:v>
                </c:pt>
                <c:pt idx="60">
                  <c:v>345.62</c:v>
                </c:pt>
              </c:numCache>
            </c:numRef>
          </c:val>
          <c:smooth val="0"/>
          <c:extLst>
            <c:ext xmlns:c16="http://schemas.microsoft.com/office/drawing/2014/chart" uri="{C3380CC4-5D6E-409C-BE32-E72D297353CC}">
              <c16:uniqueId val="{00000001-B295-472C-960A-38414AF7389A}"/>
            </c:ext>
          </c:extLst>
        </c:ser>
        <c:dLbls>
          <c:showLegendKey val="0"/>
          <c:showVal val="0"/>
          <c:showCatName val="0"/>
          <c:showSerName val="0"/>
          <c:showPercent val="0"/>
          <c:showBubbleSize val="0"/>
        </c:dLbls>
        <c:smooth val="0"/>
        <c:axId val="1890279552"/>
        <c:axId val="1890296832"/>
      </c:lineChart>
      <c:dateAx>
        <c:axId val="189027955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296832"/>
        <c:crosses val="autoZero"/>
        <c:auto val="1"/>
        <c:lblOffset val="100"/>
        <c:baseTimeUnit val="days"/>
      </c:dateAx>
      <c:valAx>
        <c:axId val="1890296832"/>
        <c:scaling>
          <c:orientation val="minMax"/>
        </c:scaling>
        <c:delete val="0"/>
        <c:axPos val="l"/>
        <c:majorGridlines>
          <c:spPr>
            <a:ln w="9525" cap="flat" cmpd="sng" algn="ctr">
              <a:solidFill>
                <a:schemeClr val="tx1">
                  <a:lumMod val="15000"/>
                  <a:lumOff val="85000"/>
                </a:schemeClr>
              </a:solidFill>
              <a:round/>
            </a:ln>
            <a:effectLst/>
          </c:spPr>
        </c:majorGridlines>
        <c:numFmt formatCode="[$$-C09]#,##0.00;\-[$$-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279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1266824</xdr:colOff>
      <xdr:row>1</xdr:row>
      <xdr:rowOff>166686</xdr:rowOff>
    </xdr:from>
    <xdr:to>
      <xdr:col>7</xdr:col>
      <xdr:colOff>104776</xdr:colOff>
      <xdr:row>1</xdr:row>
      <xdr:rowOff>790575</xdr:rowOff>
    </xdr:to>
    <xdr:sp macro="" textlink="">
      <xdr:nvSpPr>
        <xdr:cNvPr id="3" name="TextBox 2">
          <a:extLst>
            <a:ext uri="{FF2B5EF4-FFF2-40B4-BE49-F238E27FC236}">
              <a16:creationId xmlns:a16="http://schemas.microsoft.com/office/drawing/2014/main" id="{F052AD62-EF42-0B03-3B39-2F13D5E3AB75}"/>
            </a:ext>
          </a:extLst>
        </xdr:cNvPr>
        <xdr:cNvSpPr txBox="1"/>
      </xdr:nvSpPr>
      <xdr:spPr>
        <a:xfrm>
          <a:off x="1476374" y="481011"/>
          <a:ext cx="6038852" cy="623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i="1">
              <a:solidFill>
                <a:schemeClr val="bg1"/>
              </a:solidFill>
              <a:latin typeface="Abadi" panose="020B0604020104020204" pitchFamily="34" charset="0"/>
              <a:cs typeface="Aharoni" panose="02010803020104030203" pitchFamily="2" charset="-79"/>
            </a:rPr>
            <a:t>Equity Portfolio Dasboard</a:t>
          </a:r>
        </a:p>
      </xdr:txBody>
    </xdr:sp>
    <xdr:clientData/>
  </xdr:twoCellAnchor>
  <xdr:twoCellAnchor editAs="oneCell">
    <xdr:from>
      <xdr:col>0</xdr:col>
      <xdr:colOff>19050</xdr:colOff>
      <xdr:row>1</xdr:row>
      <xdr:rowOff>225918</xdr:rowOff>
    </xdr:from>
    <xdr:to>
      <xdr:col>1</xdr:col>
      <xdr:colOff>1177290</xdr:colOff>
      <xdr:row>1</xdr:row>
      <xdr:rowOff>765656</xdr:rowOff>
    </xdr:to>
    <xdr:pic>
      <xdr:nvPicPr>
        <xdr:cNvPr id="5" name="Picture 4">
          <a:extLst>
            <a:ext uri="{FF2B5EF4-FFF2-40B4-BE49-F238E27FC236}">
              <a16:creationId xmlns:a16="http://schemas.microsoft.com/office/drawing/2014/main" id="{8E5A7860-50DE-8FB9-F565-40928709DF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540243"/>
          <a:ext cx="1362075" cy="545453"/>
        </a:xfrm>
        <a:prstGeom prst="rect">
          <a:avLst/>
        </a:prstGeom>
      </xdr:spPr>
    </xdr:pic>
    <xdr:clientData/>
  </xdr:twoCellAnchor>
  <xdr:twoCellAnchor>
    <xdr:from>
      <xdr:col>1</xdr:col>
      <xdr:colOff>53340</xdr:colOff>
      <xdr:row>24</xdr:row>
      <xdr:rowOff>116205</xdr:rowOff>
    </xdr:from>
    <xdr:to>
      <xdr:col>2</xdr:col>
      <xdr:colOff>706755</xdr:colOff>
      <xdr:row>40</xdr:row>
      <xdr:rowOff>118110</xdr:rowOff>
    </xdr:to>
    <xdr:graphicFrame macro="">
      <xdr:nvGraphicFramePr>
        <xdr:cNvPr id="2" name="Chart 1">
          <a:extLst>
            <a:ext uri="{FF2B5EF4-FFF2-40B4-BE49-F238E27FC236}">
              <a16:creationId xmlns:a16="http://schemas.microsoft.com/office/drawing/2014/main" id="{F13354EB-559C-0DAA-63F3-404FED5F2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962025</xdr:colOff>
      <xdr:row>25</xdr:row>
      <xdr:rowOff>42862</xdr:rowOff>
    </xdr:from>
    <xdr:to>
      <xdr:col>7</xdr:col>
      <xdr:colOff>485775</xdr:colOff>
      <xdr:row>39</xdr:row>
      <xdr:rowOff>123825</xdr:rowOff>
    </xdr:to>
    <xdr:graphicFrame macro="">
      <xdr:nvGraphicFramePr>
        <xdr:cNvPr id="4" name="Chart 3">
          <a:extLst>
            <a:ext uri="{FF2B5EF4-FFF2-40B4-BE49-F238E27FC236}">
              <a16:creationId xmlns:a16="http://schemas.microsoft.com/office/drawing/2014/main" id="{972CF742-45C5-416D-1160-7C141C0A3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857249</xdr:colOff>
      <xdr:row>29</xdr:row>
      <xdr:rowOff>0</xdr:rowOff>
    </xdr:from>
    <xdr:to>
      <xdr:col>13</xdr:col>
      <xdr:colOff>285749</xdr:colOff>
      <xdr:row>45</xdr:row>
      <xdr:rowOff>138112</xdr:rowOff>
    </xdr:to>
    <xdr:graphicFrame macro="">
      <xdr:nvGraphicFramePr>
        <xdr:cNvPr id="6" name="Chart 5">
          <a:extLst>
            <a:ext uri="{FF2B5EF4-FFF2-40B4-BE49-F238E27FC236}">
              <a16:creationId xmlns:a16="http://schemas.microsoft.com/office/drawing/2014/main" id="{54EC6520-8783-4B1C-ACD4-CB1AF70EE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638174</xdr:colOff>
      <xdr:row>13</xdr:row>
      <xdr:rowOff>85725</xdr:rowOff>
    </xdr:from>
    <xdr:to>
      <xdr:col>16</xdr:col>
      <xdr:colOff>180975</xdr:colOff>
      <xdr:row>30</xdr:row>
      <xdr:rowOff>33337</xdr:rowOff>
    </xdr:to>
    <xdr:graphicFrame macro="">
      <xdr:nvGraphicFramePr>
        <xdr:cNvPr id="2" name="Chart 1">
          <a:extLst>
            <a:ext uri="{FF2B5EF4-FFF2-40B4-BE49-F238E27FC236}">
              <a16:creationId xmlns:a16="http://schemas.microsoft.com/office/drawing/2014/main" id="{0B49A33F-AF12-E6ED-F0A9-6CE77A0CF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14">
  <a r="1" c="61">
    <v t="i">1</v>
    <v t="i">2</v>
    <v t="i">3</v>
    <v t="i">4</v>
    <v t="i">5</v>
    <v t="i">9</v>
    <v t="i">10</v>
    <v t="i">11</v>
    <v t="i">12</v>
    <v t="i">15</v>
    <v t="i">16</v>
    <v t="i">17</v>
    <v t="i">18</v>
    <v t="i">19</v>
    <v t="i">22</v>
    <v t="i">23</v>
    <v t="i">24</v>
    <v t="i">25</v>
    <v t="i">26</v>
    <v t="i">29</v>
    <v t="i">30</v>
    <v t="i">31</v>
    <v t="i">32</v>
    <v t="i">33</v>
    <v t="i">37</v>
    <v t="i">38</v>
    <v t="i">39</v>
    <v t="i">40</v>
    <v t="i">43</v>
    <v t="i">44</v>
    <v t="i">45</v>
    <v t="i">46</v>
    <v t="i">47</v>
    <v t="i">50</v>
    <v t="i">51</v>
    <v t="i">52</v>
    <v t="i">53</v>
    <v t="i">54</v>
    <v t="i">57</v>
    <v t="i">58</v>
    <v t="i">59</v>
    <v t="i">60</v>
    <v t="i">61</v>
    <v t="i">64</v>
    <v t="i">65</v>
    <v t="i">66</v>
    <v t="i">67</v>
    <v t="i">68</v>
    <v t="i">71</v>
    <v t="i">72</v>
    <v t="i">73</v>
    <v t="i">74</v>
    <v t="i">75</v>
    <v t="i">78</v>
    <v t="i">79</v>
    <v t="i">80</v>
    <v t="i">81</v>
    <v t="i">85</v>
    <v t="i">86</v>
    <v t="i">87</v>
    <v t="i">88</v>
  </a>
  <a r="1" c="61">
    <v>448.96</v>
    <v>447.2</v>
    <v>439.2</v>
    <v>438.57</v>
    <v>437.5</v>
    <v>419.25</v>
    <v>431.44</v>
    <v>449.36</v>
    <v>449.06</v>
    <v>435.2</v>
    <v>430.9</v>
    <v>431.46</v>
    <v>416.56</v>
    <v>430.41</v>
    <v>421.81</v>
    <v>421.96</v>
    <v>406.01</v>
    <v>397.21</v>
    <v>411.11</v>
    <v>417.32</v>
    <v>425.21</v>
    <v>428.27</v>
    <v>417.07</v>
    <v>417.44</v>
    <v>410.63</v>
    <v>411.32</v>
    <v>411.71</v>
    <v>411.82</v>
    <v>399.83</v>
    <v>409.38</v>
    <v>417.4</v>
    <v>408.58</v>
    <v>402.51</v>
    <v>403.32</v>
    <v>392.43</v>
    <v>405.94</v>
    <v>405.55</v>
    <v>396.73</v>
    <v>398.68</v>
    <v>399.23500000000001</v>
    <v>407.82</v>
    <v>395.01</v>
    <v>391.2</v>
    <v>395.56</v>
    <v>399.27</v>
    <v>392.78</v>
    <v>380.3</v>
    <v>367.96</v>
    <v>380.85</v>
    <v>383.03</v>
    <v>385.95</v>
    <v>372.11</v>
    <v>361.83</v>
    <v>355.28</v>
    <v>371.75</v>
    <v>381.26</v>
    <v>360.59</v>
    <v>352.82</v>
    <v>346.65</v>
    <v>343.25</v>
    <v>345.62</v>
  </a>
  <a r="1">
    <v t="i">0</v>
  </a>
  <a r="1">
    <v>424.84</v>
  </a>
  <a r="1">
    <v>177.02</v>
  </a>
  <a r="1">
    <v>82.784499999999994</v>
  </a>
  <a r="1">
    <v>120.26</v>
  </a>
  <a r="1">
    <v>522.55999999999995</v>
  </a>
  <a r="1">
    <v>1125.8599999999999</v>
  </a>
  <a r="1">
    <v>353.68</v>
  </a>
  <a r="1">
    <v>299.85000000000002</v>
  </a>
  <a r="1">
    <v>790.44</v>
  </a>
  <a r="1">
    <v>517.53</v>
  </a>
  <a r="1" c="61">
    <v>89.41</v>
    <v>90.32</v>
    <v>88.55</v>
    <v>88.05</v>
    <v>88</v>
    <v>87.26</v>
    <v>85.36</v>
    <v>83.54</v>
    <v>86.12</v>
    <v>85.7</v>
    <v>85.58</v>
    <v>84.64</v>
    <v>83.16</v>
    <v>83.49</v>
    <v>82.76</v>
    <v>79.94</v>
    <v>80.16</v>
    <v>80.87</v>
    <v>82.2</v>
    <v>81.47</v>
    <v>82.21</v>
    <v>79.62</v>
    <v>75.86</v>
    <v>76.87</v>
    <v>77</v>
    <v>77.989999999999995</v>
    <v>77</v>
    <v>78.67</v>
    <v>76.02</v>
    <v>78.040000000000006</v>
    <v>82.7</v>
    <v>84.59</v>
    <v>96.24</v>
    <v>97.09</v>
    <v>97.7</v>
    <v>98.66</v>
    <v>99.17</v>
    <v>99.02</v>
    <v>98.32</v>
    <v>96.94</v>
    <v>94.89</v>
    <v>94.31</v>
    <v>95.31</v>
    <v>95.2</v>
    <v>94.36</v>
    <v>94.7</v>
    <v>91.74</v>
    <v>91.82</v>
    <v>93.38</v>
    <v>90.92</v>
    <v>92.28</v>
    <v>93.32</v>
    <v>93.43</v>
    <v>92.97</v>
    <v>96.15</v>
    <v>95.55</v>
    <v>98.66</v>
    <v>98.93</v>
    <v>98.82</v>
    <v>99.39</v>
    <v>102.05</v>
  </a>
</arrayData>
</file>

<file path=xl/richData/rdrichvalue.xml><?xml version="1.0" encoding="utf-8"?>
<rvData xmlns="http://schemas.microsoft.com/office/spreadsheetml/2017/richdata" count="234">
  <rv s="0">
    <v>https://www.bing.com/financeapi/forcetrigger?t=a24kar&amp;q=XNAS%3aTSLA&amp;form=skydnc</v>
    <v>Learn more on Bing</v>
  </rv>
  <rv s="1">
    <v>en-IN</v>
    <v>a24kar</v>
    <v>268435456</v>
    <v>1</v>
    <v>Powered by Refinitiv</v>
    <v>0</v>
    <v>TESLA, INC. (XNAS:TSLA)</v>
    <v>2</v>
    <v>3</v>
    <v>Finance</v>
    <v>4</v>
    <v>498.83</v>
    <v>222.79</v>
    <v>1.8805000000000001</v>
    <v>0.68</v>
    <v>1.967E-3</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134785</v>
    <v>Nasdaq Stock Market</v>
    <v>XNAS</v>
    <v>XNAS</v>
    <v>1 Tesla Road, AUSTIN, TX, 78725 US</v>
    <v>350.36</v>
    <v>Automobiles &amp; Auto Parts</v>
    <v>Stock</v>
    <v>46122.799339224221</v>
    <v>0</v>
    <v>342.74</v>
    <v>1299467201600</v>
    <v>TESLA, INC.</v>
    <v>TESLA, INC.</v>
    <v>346.4</v>
    <v>322.0197</v>
    <v>345.62</v>
    <v>346.3</v>
    <v>3752432000</v>
    <v>TSLA</v>
    <v>TESLA, INC. (XNAS:TSLA)</v>
    <v>41218318</v>
    <v>64463658</v>
    <v>2024</v>
  </rv>
  <rv s="2">
    <v>1</v>
  </rv>
  <rv s="0">
    <v>https://www.bing.com/financeapi/forcetrigger?t=a1ygoc&amp;q=XNAS%3aNFLX&amp;form=skydnc</v>
    <v>Learn more on Bing</v>
  </rv>
  <rv s="1">
    <v>en-IN</v>
    <v>a1ygoc</v>
    <v>268435456</v>
    <v>1</v>
    <v>Powered by Refinitiv</v>
    <v>0</v>
    <v>NETFLIX, INC. (XNAS:NFLX)</v>
    <v>2</v>
    <v>3</v>
    <v>Finance</v>
    <v>4</v>
    <v>134.11500000000001</v>
    <v>75.010000000000005</v>
    <v>1.7039</v>
    <v>0.14000000000000001</v>
    <v>1.372E-3</v>
    <v>USD</v>
    <v>Netflix, Inc. is a provider of entertainment services. The Company acquires, licenses and produces content, including original programming. It provides paid memberships in over 190 countries offering television (TV) series, films and games across a variety of genres and languages. It allows members to play, pause and resume watching as much as they want, anytime, anywhere, and can change their plans at any time. The Company offers members the ability to receive streaming content through a host of Internet-connected devices, including TVs, digital video players, TV set-top boxes and mobile devices. It is engaged in scaling its streaming service, such as introducing games and advertising on its service, as well as offering live programming. It is developing technology and utilizing third-party cloud computing, technology and other services. The Company is also engaged in scaling its own studio operations to produce original content.</v>
    <v>16000</v>
    <v>Nasdaq Stock Market</v>
    <v>XNAS</v>
    <v>XNAS</v>
    <v>121 Albright Way, LOS GATOS, CA, 95032 US</v>
    <v>103.08</v>
    <v>Software &amp; IT Services</v>
    <v>Stock</v>
    <v>46122.799334270312</v>
    <v>3</v>
    <v>101.46</v>
    <v>431462734780</v>
    <v>NETFLIX, INC.</v>
    <v>NETFLIX, INC.</v>
    <v>102.5</v>
    <v>40.436100000000003</v>
    <v>102.05</v>
    <v>102.19</v>
    <v>4222162000</v>
    <v>NFLX</v>
    <v>NETFLIX, INC. (XNAS:NFLX)</v>
    <v>16592404</v>
    <v>38100395</v>
    <v>1997</v>
  </rv>
  <rv s="2">
    <v>4</v>
  </rv>
  <rv s="0">
    <v>https://www.bing.com/financeapi/forcetrigger?t=a1otrw&amp;q=XNYS%3aBRK.B&amp;form=skydnc</v>
    <v>Learn more on Bing</v>
  </rv>
  <rv s="1">
    <v>en-IN</v>
    <v>a1otrw</v>
    <v>268435456</v>
    <v>1</v>
    <v>Powered by Refinitiv</v>
    <v>0</v>
    <v>BERKSHIRE HATHAWAY INC. (XNYS:BRK.B)</v>
    <v>2</v>
    <v>3</v>
    <v>Finance</v>
    <v>4</v>
    <v>542.07000000000005</v>
    <v>455.185</v>
    <v>0.68130000000000002</v>
    <v>-5.2</v>
    <v>-1.0717000000000001E-2</v>
    <v>USD</v>
    <v>Berkshire Hathaway Inc. is a holding company owning subsidiaries engaged in diverse business activities, including insurance and reinsurance, utilities and energy, manufacturing, service and retailing. Its segments include Insurance, Burlington Northern Santa Fe (BNSF), Berkshire Hathaway Energy (BHE), Manufacturing, Service and retailing, McLane Company (McLane), and Pilot Travel Centers (Pilot). Insurance segment includes GEICO, Berkshire Hathaway Primary Group, and Berkshire Hathaway Reinsurance Group. BNSF segment is an operator of freight rail transportation systems. BHE segment offers regulated electric and gas utilities and real estate brokerage activities. Manufacturing segment manufactures and distributes industrial, consumer and building products. Service and retailing segment includes aviation pilot training and electronic components distribution. McLane segment includes wholesale distribution of food and non-food items. Pilot segment is an operator of retail travel centers.</v>
    <v>387800</v>
    <v>New York Stock Exchange</v>
    <v>XNYS</v>
    <v>XNYS</v>
    <v>3555 Farnam Street, OMAHA, NE, 68131 US</v>
    <v>485.3</v>
    <v>Consumer Goods Conglomerates</v>
    <v>Stock</v>
    <v>46122.799330914066</v>
    <v>6</v>
    <v>479.73</v>
    <v>1068106000000</v>
    <v>BERKSHIRE HATHAWAY INC.</v>
    <v>BERKSHIRE HATHAWAY INC.</v>
    <v>485.3</v>
    <v>15.463900000000001</v>
    <v>485.2</v>
    <v>480</v>
    <v>1437910</v>
    <v>BRK.B</v>
    <v>BERKSHIRE HATHAWAY INC. (XNYS:BRK.B)</v>
    <v>2081689</v>
    <v>4511829</v>
    <v>1998</v>
  </rv>
  <rv s="2">
    <v>7</v>
  </rv>
  <rv s="0">
    <v>https://www.bing.com/financeapi/forcetrigger?t=a1o2lh&amp;q=XNYS%3aAXP&amp;form=skydnc</v>
    <v>Learn more on Bing</v>
  </rv>
  <rv s="1">
    <v>en-IN</v>
    <v>a1o2lh</v>
    <v>268435456</v>
    <v>1</v>
    <v>Powered by Refinitiv</v>
    <v>0</v>
    <v>AMERICAN EXPRESS COMPANY (XNYS:AXP)</v>
    <v>2</v>
    <v>3</v>
    <v>Finance</v>
    <v>4</v>
    <v>387.49</v>
    <v>238.5196</v>
    <v>1.1240000000000001</v>
    <v>-3.32</v>
    <v>-1.0447999999999999E-2</v>
    <v>USD</v>
    <v>American Express Company is a global payments and premium lifestyle brand powered by technology. Its card-issuing, merchant-acquiring and card network businesses offer products and services to a broad range of customers, including consumers, small businesses, mid-sized companies and large corporations around the world. Its range of products and services includes credit and charge cards and complementary products and services, including travel, dining, lifestyle and expense management products and services; banking and other payment and financing products and services, including deposits and non-card lending; merchant acquisition and processing, servicing and settlement, fraud prevention, and point-of-sale marketing and information products and services, and network services. These products and services are offered through various channels, including mobile and online applications, affiliate marketing, customer referral programs, third-party service providers, and business partners.</v>
    <v>76800</v>
    <v>New York Stock Exchange</v>
    <v>XNYS</v>
    <v>XNYS</v>
    <v>200 Vesey Street, 50Th Floor, NEW YORK, NY, 10285 US</v>
    <v>318</v>
    <v>Banking Services</v>
    <v>Stock</v>
    <v>46122.79931407344</v>
    <v>9</v>
    <v>313.13310000000001</v>
    <v>215644590130</v>
    <v>AMERICAN EXPRESS COMPANY</v>
    <v>AMERICAN EXPRESS COMPANY</v>
    <v>317.68</v>
    <v>20.4468</v>
    <v>317.77</v>
    <v>314.45</v>
    <v>685783400</v>
    <v>AXP</v>
    <v>AMERICAN EXPRESS COMPANY (XNYS:AXP)</v>
    <v>863136</v>
    <v>3524748</v>
    <v>1965</v>
  </rv>
  <rv s="2">
    <v>10</v>
  </rv>
  <rv s="0">
    <v>http://en.wikipedia.org/wiki/Public_domain</v>
    <v>Public domain</v>
  </rv>
  <rv s="0">
    <v>https://en.wikipedia.org/wiki/Microsoft</v>
    <v>Wikipedia</v>
  </rv>
  <rv s="3">
    <v>12</v>
    <v>13</v>
  </rv>
  <rv s="4">
    <v>9</v>
    <v>https://www.bing.com/th?id=AMMS_e6e837c7bf3a77408619758b7447855a&amp;qlt=95</v>
    <v>14</v>
    <v>0</v>
    <v>https://www.bing.com/images/search?form=xlimg&amp;q=microsoft</v>
    <v>Image of MICROSOFT CORPORATION</v>
  </rv>
  <rv s="0">
    <v>https://www.bing.com/financeapi/forcetrigger?t=a1xzim&amp;q=XNAS%3aMSFT&amp;form=skydnc</v>
    <v>Learn more on Bing</v>
  </rv>
  <rv s="5">
    <v>en-IN</v>
    <v>a1xzim</v>
    <v>268435456</v>
    <v>1</v>
    <v>Powered by Refinitiv</v>
    <v>5</v>
    <v>MICROSOFT CORPORATION (XNAS:MSFT)</v>
    <v>7</v>
    <v>8</v>
    <v>Finance</v>
    <v>4</v>
    <v>555.45000000000005</v>
    <v>355.67</v>
    <v>1.0896999999999999</v>
    <v>-1.66</v>
    <v>-4.45E-3</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375.64</v>
    <v>15</v>
    <v>Software &amp; IT Services</v>
    <v>Stock</v>
    <v>46122.799338610937</v>
    <v>16</v>
    <v>370.03</v>
    <v>2757952866890</v>
    <v>MICROSOFT CORPORATION</v>
    <v>MICROSOFT CORPORATION</v>
    <v>373.07</v>
    <v>23.238700000000001</v>
    <v>373.07</v>
    <v>371.41</v>
    <v>7425629000</v>
    <v>MSFT</v>
    <v>MICROSOFT CORPORATION (XNAS:MSFT)</v>
    <v>19308576</v>
    <v>31616493</v>
    <v>1993</v>
  </rv>
  <rv s="2">
    <v>17</v>
  </rv>
  <rv s="0">
    <v>https://www.bing.com/financeapi/forcetrigger?t=a1om4c&amp;q=XNYS%3aBLK&amp;form=skydnc</v>
    <v>Learn more on Bing</v>
  </rv>
  <rv s="1">
    <v>en-IN</v>
    <v>a1om4c</v>
    <v>268435456</v>
    <v>1</v>
    <v>Powered by Refinitiv</v>
    <v>0</v>
    <v>BLACKROCK, INC. (XNYS:BLK)</v>
    <v>2</v>
    <v>3</v>
    <v>Finance</v>
    <v>4</v>
    <v>1219.9399000000001</v>
    <v>833.09500000000003</v>
    <v>1.4814000000000001</v>
    <v>-2.27</v>
    <v>-2.2659999999999998E-3</v>
    <v>USD</v>
    <v>BlackRock, Inc. is an investment management company. The Company provides a range of investment management and technology services to institutional and retail clients. Its diverse platform of alpha-seeking active, private markets, index and cash management investment strategies across asset classes enables the Company to tailor investment outcomes and asset allocation solutions for clients. Its product offerings include single- and multi-asset portfolios investing in equities, fixed income, alternatives, and money market instruments. Its products are offered directly and through intermediaries in a range of vehicles, including open-end and closed-end mutual funds, iShares exchange-traded funds, separate accounts, collective investment funds and other pooled investment vehicles. It also offers technology services, including the investment and risk management technology platform, Aladdin, Aladdin Wealth, eFront, and Cachematrix, as well as advisory services and solutions.</v>
    <v>24900</v>
    <v>New York Stock Exchange</v>
    <v>XNYS</v>
    <v>XNYS</v>
    <v>50 Hudson Yards, NEW YORK, NY, 10001 US</v>
    <v>1002.925</v>
    <v>Investment Banking &amp; Investment Services</v>
    <v>Stock</v>
    <v>46122.799327846878</v>
    <v>19</v>
    <v>991.17499999999995</v>
    <v>155440398025</v>
    <v>BLACKROCK, INC.</v>
    <v>BLACKROCK, INC.</v>
    <v>1002.39</v>
    <v>28.835799999999999</v>
    <v>1001.62</v>
    <v>999.35</v>
    <v>155541500</v>
    <v>BLK</v>
    <v>BLACKROCK, INC. (XNYS:BLK)</v>
    <v>344339</v>
    <v>967655</v>
    <v>2024</v>
  </rv>
  <rv s="2">
    <v>20</v>
  </rv>
  <rv s="0">
    <v>https://www.bing.com/financeapi/forcetrigger?t=a1u7xm&amp;q=XNYS%3aGS&amp;form=skydnc</v>
    <v>Learn more on Bing</v>
  </rv>
  <rv s="1">
    <v>en-IN</v>
    <v>a1u7xm</v>
    <v>268435456</v>
    <v>1</v>
    <v>Powered by Refinitiv</v>
    <v>0</v>
    <v>THE GOLDMAN SACHS GROUP, INC. (XNYS:GS)</v>
    <v>2</v>
    <v>3</v>
    <v>Finance</v>
    <v>4</v>
    <v>984.7</v>
    <v>474</v>
    <v>1.3151999999999999</v>
    <v>3.03</v>
    <v>3.3530000000000001E-3</v>
    <v>USD</v>
    <v>The Goldman Sachs Group, Inc. is a global financial institution that delivers a range of financial services to a large and diversified client base that includes corporations, financial institutions, governments and individuals. Its segments include Global Banking &amp; Markets, Asset &amp; Wealth Management and Platform Solutions. The Global Banking &amp; Markets segment offers a range of services, including financing, advisory services, risk distribution, and hedging for its institutional and corporate clients. It facilitates client transactions and makes markets in fixed income, equity, currency and commodity products. The Asset &amp; Wealth Management segment manages assets and offers investment products across all asset classes to a diverse set of clients. It also provides investing and wealth advisory solutions. The Platform Solutions segment includes consumer platforms, such as partnerships offering credit cards and point-of-sale financing, and transaction banking and other platform businesses.</v>
    <v>47400</v>
    <v>New York Stock Exchange</v>
    <v>XNYS</v>
    <v>XNYS</v>
    <v>200 West St, NEW YORK, NY, 10282 US</v>
    <v>908.95899999999995</v>
    <v>Investment Banking &amp; Investment Services</v>
    <v>Stock</v>
    <v>46122.799321330465</v>
    <v>22</v>
    <v>895.01</v>
    <v>267485718825</v>
    <v>THE GOLDMAN SACHS GROUP, INC.</v>
    <v>THE GOLDMAN SACHS GROUP, INC.</v>
    <v>903.37</v>
    <v>17.6753</v>
    <v>903.72</v>
    <v>906.75</v>
    <v>294993900</v>
    <v>GS</v>
    <v>THE GOLDMAN SACHS GROUP, INC. (XNYS:GS)</v>
    <v>1053224</v>
    <v>2197890</v>
    <v>1998</v>
  </rv>
  <rv s="2">
    <v>23</v>
  </rv>
  <rv s="0">
    <v>https://www.bing.com/financeapi/forcetrigger?t=a256cw&amp;q=XNYS%3aV&amp;form=skydnc</v>
    <v>Learn more on Bing</v>
  </rv>
  <rv s="1">
    <v>en-IN</v>
    <v>a256cw</v>
    <v>268435456</v>
    <v>1</v>
    <v>Powered by Refinitiv</v>
    <v>0</v>
    <v>VISA INC. (XNYS:V)</v>
    <v>2</v>
    <v>3</v>
    <v>Finance</v>
    <v>4</v>
    <v>375.51</v>
    <v>293.89</v>
    <v>0.77059999999999995</v>
    <v>-3.6978</v>
    <v>-1.1995E-2</v>
    <v>USD</v>
    <v>Visa Inc. is a global payments technology company. It facilitates global commerce and money movement across more than 200 countries and territories among a global set of consumers, merchants, financial institutions and government entities through technologies. It operates through the Payment Services segment. It provides transaction processing services (primarily authorization, clearing and settlement) to its financial institution and merchant clients through VisaNet, its proprietary advanced transaction processing network. It offers a range of Visa-branded payment products that its clients, including nearly 14,500 financial institutions, use to develop and offer payment solutions or services, including credit, debit, prepaid and cash access programs for individual, business and government account holders. It also provides value-added services to its clients, including issuing solutions, acceptance solutions, risk and identity solutions, open banking solutions and advisory services.</v>
    <v>34100</v>
    <v>New York Stock Exchange</v>
    <v>XNYS</v>
    <v>XNYS</v>
    <v>P.O. Box 8999, SAN FRANCISCO, CA, 94128-8999 US</v>
    <v>308.99</v>
    <v>Professional &amp; Commercial Services</v>
    <v>Stock</v>
    <v>46122.799353437498</v>
    <v>25</v>
    <v>303.51</v>
    <v>580555474529</v>
    <v>VISA INC.</v>
    <v>VISA INC.</v>
    <v>308.75</v>
    <v>28.581399999999999</v>
    <v>308.29000000000002</v>
    <v>304.59219999999999</v>
    <v>1906009000</v>
    <v>V</v>
    <v>VISA INC. (XNYS:V)</v>
    <v>2820782</v>
    <v>7165892</v>
    <v>2007</v>
  </rv>
  <rv s="2">
    <v>26</v>
  </rv>
  <rv s="0">
    <v>https://www.bing.com/financeapi/forcetrigger?t=bvsk7w&amp;q=XNYS%3aPLTR&amp;form=skydnc</v>
    <v>Learn more on Bing</v>
  </rv>
  <rv s="1">
    <v>en-IN</v>
    <v>bvsk7w</v>
    <v>268435456</v>
    <v>1</v>
    <v>Powered by Refinitiv</v>
    <v>0</v>
    <v>PALANTIR TECHNOLOGIES INC. (XNAS:PLTR)</v>
    <v>2</v>
    <v>3</v>
    <v>Finance</v>
    <v>4</v>
    <v>207.52</v>
    <v>84.14</v>
    <v>1.655</v>
    <v>-2.97</v>
    <v>-2.2759999999999999E-2</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4429</v>
    <v>Nasdaq Stock Market</v>
    <v>XNAS</v>
    <v>XNAS</v>
    <v>1200 17Th Street, Floor 15, DENVER, CO, 80202 US</v>
    <v>129.19999999999999</v>
    <v>Software &amp; IT Services</v>
    <v>Stock</v>
    <v>46122.799363911719</v>
    <v>28</v>
    <v>122.68</v>
    <v>304858365920</v>
    <v>PALANTIR TECHNOLOGIES INC.</v>
    <v>PALANTIR TECHNOLOGIES INC.</v>
    <v>128.43</v>
    <v>201.5171</v>
    <v>130.49</v>
    <v>127.52</v>
    <v>2390671000</v>
    <v>PLTR</v>
    <v>PALANTIR TECHNOLOGIES INC. (XNAS:PLTR)</v>
    <v>100808957</v>
    <v>45208057</v>
    <v>2003</v>
  </rv>
  <rv s="2">
    <v>29</v>
  </rv>
  <rv s="6">
    <fb>424.84</fb>
    <v>10</v>
  </rv>
  <rv s="6">
    <fb>82.784499999999994</fb>
    <v>10</v>
  </rv>
  <rv s="6">
    <fb>517.53</fb>
    <v>10</v>
  </rv>
  <rv s="6">
    <fb>120.26</fb>
    <v>10</v>
  </rv>
  <rv s="6">
    <fb>299.85000000000002</fb>
    <v>10</v>
  </rv>
  <rv s="6">
    <fb>522.55999999999995</fb>
    <v>10</v>
  </rv>
  <rv s="6">
    <fb>1125.8599999999999</fb>
    <v>10</v>
  </rv>
  <rv s="6">
    <fb>790.44</fb>
    <v>10</v>
  </rv>
  <rv s="6">
    <fb>353.68</fb>
    <v>10</v>
  </rv>
  <rv s="6">
    <fb>177.02</fb>
    <v>10</v>
  </rv>
  <rv s="6">
    <fb>46034</fb>
    <v>11</v>
  </rv>
  <rv s="6">
    <fb>89.41</fb>
    <v>10</v>
  </rv>
  <rv s="6">
    <fb>448.96</fb>
    <v>10</v>
  </rv>
  <rv s="6">
    <fb>46035</fb>
    <v>11</v>
  </rv>
  <rv s="6">
    <fb>90.32</fb>
    <v>10</v>
  </rv>
  <rv s="6">
    <fb>447.2</fb>
    <v>10</v>
  </rv>
  <rv s="6">
    <fb>46036</fb>
    <v>11</v>
  </rv>
  <rv s="6">
    <fb>88.55</fb>
    <v>10</v>
  </rv>
  <rv s="6">
    <fb>439.2</fb>
    <v>10</v>
  </rv>
  <rv s="6">
    <fb>46037</fb>
    <v>11</v>
  </rv>
  <rv s="6">
    <fb>88.05</fb>
    <v>10</v>
  </rv>
  <rv s="6">
    <fb>438.57</fb>
    <v>10</v>
  </rv>
  <rv s="6">
    <fb>46038</fb>
    <v>11</v>
  </rv>
  <rv s="6">
    <fb>88</fb>
    <v>10</v>
  </rv>
  <rv s="6">
    <fb>437.5</fb>
    <v>10</v>
  </rv>
  <rv s="6">
    <fb>46042</fb>
    <v>11</v>
  </rv>
  <rv s="6">
    <fb>87.26</fb>
    <v>10</v>
  </rv>
  <rv s="6">
    <fb>419.25</fb>
    <v>10</v>
  </rv>
  <rv s="6">
    <fb>46043</fb>
    <v>11</v>
  </rv>
  <rv s="6">
    <fb>85.36</fb>
    <v>10</v>
  </rv>
  <rv s="6">
    <fb>431.44</fb>
    <v>10</v>
  </rv>
  <rv s="6">
    <fb>46044</fb>
    <v>11</v>
  </rv>
  <rv s="6">
    <fb>83.54</fb>
    <v>10</v>
  </rv>
  <rv s="6">
    <fb>449.36</fb>
    <v>10</v>
  </rv>
  <rv s="6">
    <fb>46045</fb>
    <v>11</v>
  </rv>
  <rv s="6">
    <fb>86.12</fb>
    <v>10</v>
  </rv>
  <rv s="6">
    <fb>449.06</fb>
    <v>10</v>
  </rv>
  <rv s="6">
    <fb>46048</fb>
    <v>11</v>
  </rv>
  <rv s="6">
    <fb>85.7</fb>
    <v>10</v>
  </rv>
  <rv s="6">
    <fb>435.2</fb>
    <v>10</v>
  </rv>
  <rv s="6">
    <fb>46049</fb>
    <v>11</v>
  </rv>
  <rv s="6">
    <fb>85.58</fb>
    <v>10</v>
  </rv>
  <rv s="6">
    <fb>430.9</fb>
    <v>10</v>
  </rv>
  <rv s="6">
    <fb>46050</fb>
    <v>11</v>
  </rv>
  <rv s="6">
    <fb>84.64</fb>
    <v>10</v>
  </rv>
  <rv s="6">
    <fb>431.46</fb>
    <v>10</v>
  </rv>
  <rv s="6">
    <fb>46051</fb>
    <v>11</v>
  </rv>
  <rv s="6">
    <fb>83.16</fb>
    <v>10</v>
  </rv>
  <rv s="6">
    <fb>416.56</fb>
    <v>10</v>
  </rv>
  <rv s="6">
    <fb>46052</fb>
    <v>11</v>
  </rv>
  <rv s="6">
    <fb>83.49</fb>
    <v>10</v>
  </rv>
  <rv s="6">
    <fb>430.41</fb>
    <v>10</v>
  </rv>
  <rv s="6">
    <fb>46055</fb>
    <v>11</v>
  </rv>
  <rv s="6">
    <fb>82.76</fb>
    <v>10</v>
  </rv>
  <rv s="6">
    <fb>421.81</fb>
    <v>10</v>
  </rv>
  <rv s="6">
    <fb>46056</fb>
    <v>11</v>
  </rv>
  <rv s="6">
    <fb>79.94</fb>
    <v>10</v>
  </rv>
  <rv s="6">
    <fb>421.96</fb>
    <v>10</v>
  </rv>
  <rv s="6">
    <fb>46057</fb>
    <v>11</v>
  </rv>
  <rv s="6">
    <fb>80.16</fb>
    <v>10</v>
  </rv>
  <rv s="6">
    <fb>406.01</fb>
    <v>10</v>
  </rv>
  <rv s="6">
    <fb>46058</fb>
    <v>11</v>
  </rv>
  <rv s="6">
    <fb>80.87</fb>
    <v>10</v>
  </rv>
  <rv s="6">
    <fb>397.21</fb>
    <v>10</v>
  </rv>
  <rv s="6">
    <fb>46059</fb>
    <v>11</v>
  </rv>
  <rv s="6">
    <fb>82.2</fb>
    <v>10</v>
  </rv>
  <rv s="6">
    <fb>411.11</fb>
    <v>10</v>
  </rv>
  <rv s="6">
    <fb>46062</fb>
    <v>11</v>
  </rv>
  <rv s="6">
    <fb>81.47</fb>
    <v>10</v>
  </rv>
  <rv s="6">
    <fb>417.32</fb>
    <v>10</v>
  </rv>
  <rv s="6">
    <fb>46063</fb>
    <v>11</v>
  </rv>
  <rv s="6">
    <fb>82.21</fb>
    <v>10</v>
  </rv>
  <rv s="6">
    <fb>425.21</fb>
    <v>10</v>
  </rv>
  <rv s="6">
    <fb>46064</fb>
    <v>11</v>
  </rv>
  <rv s="6">
    <fb>79.62</fb>
    <v>10</v>
  </rv>
  <rv s="6">
    <fb>428.27</fb>
    <v>10</v>
  </rv>
  <rv s="6">
    <fb>46065</fb>
    <v>11</v>
  </rv>
  <rv s="6">
    <fb>75.86</fb>
    <v>10</v>
  </rv>
  <rv s="6">
    <fb>417.07</fb>
    <v>10</v>
  </rv>
  <rv s="6">
    <fb>46066</fb>
    <v>11</v>
  </rv>
  <rv s="6">
    <fb>76.87</fb>
    <v>10</v>
  </rv>
  <rv s="6">
    <fb>417.44</fb>
    <v>10</v>
  </rv>
  <rv s="6">
    <fb>46070</fb>
    <v>11</v>
  </rv>
  <rv s="6">
    <fb>77</fb>
    <v>10</v>
  </rv>
  <rv s="6">
    <fb>410.63</fb>
    <v>10</v>
  </rv>
  <rv s="6">
    <fb>46071</fb>
    <v>11</v>
  </rv>
  <rv s="6">
    <fb>77.989999999999995</fb>
    <v>10</v>
  </rv>
  <rv s="6">
    <fb>411.32</fb>
    <v>10</v>
  </rv>
  <rv s="6">
    <fb>46072</fb>
    <v>11</v>
  </rv>
  <rv s="6">
    <fb>411.71</fb>
    <v>10</v>
  </rv>
  <rv s="6">
    <fb>46073</fb>
    <v>11</v>
  </rv>
  <rv s="6">
    <fb>78.67</fb>
    <v>10</v>
  </rv>
  <rv s="6">
    <fb>411.82</fb>
    <v>10</v>
  </rv>
  <rv s="6">
    <fb>46076</fb>
    <v>11</v>
  </rv>
  <rv s="6">
    <fb>76.02</fb>
    <v>10</v>
  </rv>
  <rv s="6">
    <fb>399.83</fb>
    <v>10</v>
  </rv>
  <rv s="6">
    <fb>46077</fb>
    <v>11</v>
  </rv>
  <rv s="6">
    <fb>78.040000000000006</fb>
    <v>10</v>
  </rv>
  <rv s="6">
    <fb>409.38</fb>
    <v>10</v>
  </rv>
  <rv s="6">
    <fb>46078</fb>
    <v>11</v>
  </rv>
  <rv s="6">
    <fb>82.7</fb>
    <v>10</v>
  </rv>
  <rv s="6">
    <fb>417.4</fb>
    <v>10</v>
  </rv>
  <rv s="6">
    <fb>46079</fb>
    <v>11</v>
  </rv>
  <rv s="6">
    <fb>84.59</fb>
    <v>10</v>
  </rv>
  <rv s="6">
    <fb>408.58</fb>
    <v>10</v>
  </rv>
  <rv s="6">
    <fb>46080</fb>
    <v>11</v>
  </rv>
  <rv s="6">
    <fb>96.24</fb>
    <v>10</v>
  </rv>
  <rv s="6">
    <fb>402.51</fb>
    <v>10</v>
  </rv>
  <rv s="6">
    <fb>46083</fb>
    <v>11</v>
  </rv>
  <rv s="6">
    <fb>97.09</fb>
    <v>10</v>
  </rv>
  <rv s="6">
    <fb>403.32</fb>
    <v>10</v>
  </rv>
  <rv s="6">
    <fb>46084</fb>
    <v>11</v>
  </rv>
  <rv s="6">
    <fb>97.7</fb>
    <v>10</v>
  </rv>
  <rv s="6">
    <fb>392.43</fb>
    <v>10</v>
  </rv>
  <rv s="6">
    <fb>46085</fb>
    <v>11</v>
  </rv>
  <rv s="6">
    <fb>98.66</fb>
    <v>10</v>
  </rv>
  <rv s="6">
    <fb>405.94</fb>
    <v>10</v>
  </rv>
  <rv s="6">
    <fb>46086</fb>
    <v>11</v>
  </rv>
  <rv s="6">
    <fb>99.17</fb>
    <v>10</v>
  </rv>
  <rv s="6">
    <fb>405.55</fb>
    <v>10</v>
  </rv>
  <rv s="6">
    <fb>46087</fb>
    <v>11</v>
  </rv>
  <rv s="6">
    <fb>99.02</fb>
    <v>10</v>
  </rv>
  <rv s="6">
    <fb>396.73</fb>
    <v>10</v>
  </rv>
  <rv s="6">
    <fb>46090</fb>
    <v>11</v>
  </rv>
  <rv s="6">
    <fb>98.32</fb>
    <v>10</v>
  </rv>
  <rv s="6">
    <fb>398.68</fb>
    <v>10</v>
  </rv>
  <rv s="6">
    <fb>46091</fb>
    <v>11</v>
  </rv>
  <rv s="6">
    <fb>96.94</fb>
    <v>10</v>
  </rv>
  <rv s="6">
    <fb>399.23500000000001</fb>
    <v>10</v>
  </rv>
  <rv s="6">
    <fb>46092</fb>
    <v>11</v>
  </rv>
  <rv s="6">
    <fb>94.89</fb>
    <v>10</v>
  </rv>
  <rv s="6">
    <fb>407.82</fb>
    <v>10</v>
  </rv>
  <rv s="6">
    <fb>46093</fb>
    <v>11</v>
  </rv>
  <rv s="6">
    <fb>94.31</fb>
    <v>10</v>
  </rv>
  <rv s="6">
    <fb>395.01</fb>
    <v>10</v>
  </rv>
  <rv s="6">
    <fb>46094</fb>
    <v>11</v>
  </rv>
  <rv s="6">
    <fb>95.31</fb>
    <v>10</v>
  </rv>
  <rv s="6">
    <fb>391.2</fb>
    <v>10</v>
  </rv>
  <rv s="6">
    <fb>46097</fb>
    <v>11</v>
  </rv>
  <rv s="6">
    <fb>95.2</fb>
    <v>10</v>
  </rv>
  <rv s="6">
    <fb>395.56</fb>
    <v>10</v>
  </rv>
  <rv s="6">
    <fb>46098</fb>
    <v>11</v>
  </rv>
  <rv s="6">
    <fb>94.36</fb>
    <v>10</v>
  </rv>
  <rv s="6">
    <fb>399.27</fb>
    <v>10</v>
  </rv>
  <rv s="6">
    <fb>46099</fb>
    <v>11</v>
  </rv>
  <rv s="6">
    <fb>94.7</fb>
    <v>10</v>
  </rv>
  <rv s="6">
    <fb>392.78</fb>
    <v>10</v>
  </rv>
  <rv s="6">
    <fb>46100</fb>
    <v>11</v>
  </rv>
  <rv s="6">
    <fb>91.74</fb>
    <v>10</v>
  </rv>
  <rv s="6">
    <fb>380.3</fb>
    <v>10</v>
  </rv>
  <rv s="6">
    <fb>46101</fb>
    <v>11</v>
  </rv>
  <rv s="6">
    <fb>91.82</fb>
    <v>10</v>
  </rv>
  <rv s="6">
    <fb>367.96</fb>
    <v>10</v>
  </rv>
  <rv s="6">
    <fb>46104</fb>
    <v>11</v>
  </rv>
  <rv s="6">
    <fb>93.38</fb>
    <v>10</v>
  </rv>
  <rv s="6">
    <fb>380.85</fb>
    <v>10</v>
  </rv>
  <rv s="6">
    <fb>46105</fb>
    <v>11</v>
  </rv>
  <rv s="6">
    <fb>90.92</fb>
    <v>10</v>
  </rv>
  <rv s="6">
    <fb>383.03</fb>
    <v>10</v>
  </rv>
  <rv s="6">
    <fb>46106</fb>
    <v>11</v>
  </rv>
  <rv s="6">
    <fb>92.28</fb>
    <v>10</v>
  </rv>
  <rv s="6">
    <fb>385.95</fb>
    <v>10</v>
  </rv>
  <rv s="6">
    <fb>46107</fb>
    <v>11</v>
  </rv>
  <rv s="6">
    <fb>93.32</fb>
    <v>10</v>
  </rv>
  <rv s="6">
    <fb>372.11</fb>
    <v>10</v>
  </rv>
  <rv s="6">
    <fb>46108</fb>
    <v>11</v>
  </rv>
  <rv s="6">
    <fb>93.43</fb>
    <v>10</v>
  </rv>
  <rv s="6">
    <fb>361.83</fb>
    <v>10</v>
  </rv>
  <rv s="6">
    <fb>46111</fb>
    <v>11</v>
  </rv>
  <rv s="6">
    <fb>92.97</fb>
    <v>10</v>
  </rv>
  <rv s="6">
    <fb>355.28</fb>
    <v>10</v>
  </rv>
  <rv s="6">
    <fb>46112</fb>
    <v>11</v>
  </rv>
  <rv s="6">
    <fb>96.15</fb>
    <v>10</v>
  </rv>
  <rv s="6">
    <fb>371.75</fb>
    <v>10</v>
  </rv>
  <rv s="6">
    <fb>46113</fb>
    <v>11</v>
  </rv>
  <rv s="6">
    <fb>95.55</fb>
    <v>10</v>
  </rv>
  <rv s="6">
    <fb>381.26</fb>
    <v>10</v>
  </rv>
  <rv s="6">
    <fb>46114</fb>
    <v>11</v>
  </rv>
  <rv s="6">
    <fb>360.59</fb>
    <v>10</v>
  </rv>
  <rv s="6">
    <fb>46118</fb>
    <v>11</v>
  </rv>
  <rv s="6">
    <fb>98.93</fb>
    <v>10</v>
  </rv>
  <rv s="6">
    <fb>352.82</fb>
    <v>10</v>
  </rv>
  <rv s="6">
    <fb>46119</fb>
    <v>11</v>
  </rv>
  <rv s="6">
    <fb>98.82</fb>
    <v>10</v>
  </rv>
  <rv s="6">
    <fb>346.65</fb>
    <v>10</v>
  </rv>
  <rv s="6">
    <fb>46120</fb>
    <v>11</v>
  </rv>
  <rv s="6">
    <fb>99.39</fb>
    <v>10</v>
  </rv>
  <rv s="6">
    <fb>343.25</fb>
    <v>10</v>
  </rv>
  <rv s="6">
    <fb>46121</fb>
    <v>11</v>
  </rv>
  <rv s="6">
    <fb>102.05</fb>
    <v>10</v>
  </rv>
  <rv s="6">
    <fb>345.62</fb>
    <v>10</v>
  </rv>
  <rv s="7">
    <v>12</v>
    <v>TSLA</v>
    <v>Daily</v>
    <v>46033</v>
    <v>46123</v>
    <v>0</v>
    <v>1</v>
    <v>639112896000000000,639114438233492183,0</v>
    <v>0</v>
    <v>a24kar</v>
    <v>XNAS:TSLA</v>
    <v>1</v>
  </rv>
  <rv s="8">
    <v>13</v>
    <v>a24kar</v>
    <v>Daily</v>
    <v>45638</v>
    <v>45638</v>
    <v>0</v>
    <v>1</v>
    <v>638695584000000000,639041058460258315,0</v>
    <v>2</v>
    <v>a24kar</v>
    <v>XNAS:TSLA</v>
    <v>3</v>
  </rv>
  <rv s="8">
    <v>13</v>
    <v>bvsk7w</v>
    <v>Daily</v>
    <v>46031</v>
    <v>46031</v>
    <v>0</v>
    <v>1</v>
    <v>639035136000000000,639040917458699241,0</v>
    <v>2</v>
    <v>bvsk7w</v>
    <v>XNAS:PLTR</v>
    <v>4</v>
  </rv>
  <rv s="8">
    <v>13</v>
    <v>a1ygoc</v>
    <v>Daily</v>
    <v>45754</v>
    <v>45754</v>
    <v>0</v>
    <v>1</v>
    <v>638795808000000000,639040917458065740,0</v>
    <v>2</v>
    <v>a1ygoc</v>
    <v>XNAS:NFLX</v>
    <v>5</v>
  </rv>
  <rv s="8">
    <v>13</v>
    <v>a1ygoc</v>
    <v>Daily</v>
    <v>45819</v>
    <v>45819</v>
    <v>0</v>
    <v>1</v>
    <v>638851968000000000,639040936638295679,0</v>
    <v>2</v>
    <v>a1ygoc</v>
    <v>XNAS:NFLX</v>
    <v>6</v>
  </rv>
  <rv s="8">
    <v>13</v>
    <v>a1xzim</v>
    <v>Daily</v>
    <v>45883</v>
    <v>45883</v>
    <v>0</v>
    <v>1</v>
    <v>638907264000000000,639040917458185252,0</v>
    <v>2</v>
    <v>a1xzim</v>
    <v>XNAS:MSFT</v>
    <v>7</v>
  </rv>
  <rv s="8">
    <v>13</v>
    <v>a1om4c</v>
    <v>Daily</v>
    <v>45889</v>
    <v>45889</v>
    <v>0</v>
    <v>1</v>
    <v>638912448000000000,639040917458559313,0</v>
    <v>2</v>
    <v>a1om4c</v>
    <v>XNYS:BLK</v>
    <v>8</v>
  </rv>
  <rv s="8">
    <v>13</v>
    <v>a256cw</v>
    <v>Daily</v>
    <v>46028</v>
    <v>46028</v>
    <v>0</v>
    <v>1</v>
    <v>639032544000000000,639040917458304684,0</v>
    <v>2</v>
    <v>a256cw</v>
    <v>XNYS:V</v>
    <v>9</v>
  </rv>
  <rv s="8">
    <v>13</v>
    <v>a1o2lh</v>
    <v>Daily</v>
    <v>45874</v>
    <v>45874</v>
    <v>0</v>
    <v>1</v>
    <v>638899488000000000,639040917458944398,0</v>
    <v>2</v>
    <v>a1o2lh</v>
    <v>XNYS:AXP</v>
    <v>10</v>
  </rv>
  <rv s="8">
    <v>13</v>
    <v>a1u7xm</v>
    <v>Daily</v>
    <v>45966</v>
    <v>45966</v>
    <v>0</v>
    <v>1</v>
    <v>638978976000000000,639040917459071925,0</v>
    <v>2</v>
    <v>a1u7xm</v>
    <v>XNYS:GS</v>
    <v>11</v>
  </rv>
  <rv s="8">
    <v>13</v>
    <v>a1otrw</v>
    <v>Daily</v>
    <v>45768</v>
    <v>45768</v>
    <v>0</v>
    <v>1</v>
    <v>638807904000000000,639040920311711054,0</v>
    <v>2</v>
    <v>a1otrw</v>
    <v>XNYS:BRK.B</v>
    <v>12</v>
  </rv>
  <rv s="7">
    <v>12</v>
    <v>NFLX</v>
    <v>Daily</v>
    <v>46033</v>
    <v>46123</v>
    <v>0</v>
    <v>1</v>
    <v>639112896000000000,639114429405632680,0</v>
    <v>0</v>
    <v>a1ygoc</v>
    <v>XNAS:NFLX</v>
    <v>13</v>
  </rv>
</rvData>
</file>

<file path=xl/richData/rdrichvaluestructure.xml><?xml version="1.0" encoding="utf-8"?>
<rvStructures xmlns="http://schemas.microsoft.com/office/spreadsheetml/2017/richdata" count="9">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formattednumber">
    <k n="_Format" t="spb"/>
  </s>
  <s t="_stockhistorycache">
    <k n="_Format" t="spb"/>
    <k n="Symbol" t="s"/>
    <k n="Interval" t="s"/>
    <k n="StartDate" t="i"/>
    <k n="EndDate" t="i"/>
    <k n="f1904" t="b"/>
    <k n="fdcompat" t="b"/>
    <k n="etag" t="s"/>
    <k n="Date" t="a"/>
    <k n="EntityId" t="s"/>
    <k n="Instrument" t="s"/>
    <k n="Close" t="a"/>
  </s>
  <s t="_stockhistorycache">
    <k n="_Format" t="spb"/>
    <k n="Symbol" t="s"/>
    <k n="Interval" t="s"/>
    <k n="StartDate" t="i"/>
    <k n="EndDate" t="i"/>
    <k n="f1904" t="b"/>
    <k n="fdcompat" t="b"/>
    <k n="etag" t="s"/>
    <k n="Date" t="a"/>
    <k n="EntityId" t="s"/>
    <k n="Instrument" t="s"/>
    <k n="Open" t="a"/>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4">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0</v>
      <v>0</v>
    </spb>
    <spb s="6">
      <v>6</v>
      <v>1</v>
      <v>1</v>
      <v>1</v>
      <v>1</v>
    </spb>
    <spb s="7">
      <v>1</v>
      <v>2</v>
      <v>2</v>
      <v>1</v>
      <v>3</v>
      <v>1</v>
      <v>10</v>
      <v>1</v>
      <v>1</v>
      <v>4</v>
      <v>4</v>
      <v>5</v>
      <v>6</v>
      <v>1</v>
      <v>1</v>
      <v>1</v>
      <v>4</v>
      <v>7</v>
      <v>8</v>
      <v>9</v>
      <v>4</v>
    </spb>
    <spb s="8">
      <v>Powered by Refinitiv</v>
    </spb>
    <spb s="9">
      <v>1</v>
    </spb>
    <spb s="9">
      <v>11</v>
    </spb>
    <spb s="10">
      <v>11</v>
      <v>1</v>
    </spb>
    <spb s="11">
      <v>11</v>
      <v>1</v>
    </spb>
  </spbData>
</supportingPropertyBags>
</file>

<file path=xl/richData/rdsupportingpropertybagstructure.xml><?xml version="1.0" encoding="utf-8"?>
<spbStructures xmlns="http://schemas.microsoft.com/office/spreadsheetml/2017/richdata2" count="12">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_Self" t="i"/>
  </s>
  <s>
    <k n="Date" t="i"/>
    <k n="Close" t="i"/>
  </s>
  <s>
    <k n="Date" t="i"/>
    <k n="Open"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x:dxf>
      <x:numFmt numFmtId="19" formatCode="dd/mm/yyyy"/>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Sty dxfid="7"/>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I12">
  <tableColumns count="8">
    <tableColumn id="1" xr3:uid="{00000000-0010-0000-0000-000001000000}" name="Date"/>
    <tableColumn id="2" xr3:uid="{00000000-0010-0000-0000-000002000000}" name="Equity/Stock"/>
    <tableColumn id="3" xr3:uid="{00000000-0010-0000-0000-000003000000}" name="Ticker"/>
    <tableColumn id="4" xr3:uid="{00000000-0010-0000-0000-000004000000}" name="Transaction Type"/>
    <tableColumn id="5" xr3:uid="{00000000-0010-0000-0000-000005000000}" name="Units"/>
    <tableColumn id="6" xr3:uid="{00000000-0010-0000-0000-000006000000}" name="Price">
      <calculatedColumnFormula array="1">_xlfn.STOCKHISTORY(Table_1[[#This Row],[Equity/Stock]],Table_1[[#This Row],[Date]],Table_1[[#This Row],[Date]],0,0,2)</calculatedColumnFormula>
    </tableColumn>
    <tableColumn id="7" xr3:uid="{00000000-0010-0000-0000-000007000000}" name="Total Transaction Amount (Market Value)"/>
    <tableColumn id="8" xr3:uid="{00000000-0010-0000-0000-000008000000}" name="Currency"/>
  </tableColumns>
  <tableStyleInfo name="TableStyleLight1"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abSelected="1" zoomScale="70" zoomScaleNormal="70" workbookViewId="0">
      <selection activeCell="E47" sqref="E47"/>
    </sheetView>
  </sheetViews>
  <sheetFormatPr defaultColWidth="14.42578125" defaultRowHeight="15" customHeight="1"/>
  <cols>
    <col min="1" max="1" width="3.140625" customWidth="1"/>
    <col min="2" max="2" width="50.5703125" customWidth="1"/>
    <col min="3" max="3" width="11" customWidth="1"/>
    <col min="4" max="4" width="22.5703125" customWidth="1"/>
    <col min="5" max="5" width="13.85546875" customWidth="1"/>
    <col min="6" max="6" width="14.42578125" customWidth="1"/>
    <col min="7" max="7" width="14.85546875" customWidth="1"/>
    <col min="8" max="8" width="15.7109375" customWidth="1"/>
    <col min="9" max="9" width="13" customWidth="1"/>
    <col min="10" max="10" width="15.42578125" customWidth="1"/>
    <col min="11" max="12" width="13.140625" customWidth="1"/>
    <col min="13" max="13" width="11.42578125" customWidth="1"/>
    <col min="14" max="26" width="8.85546875" customWidth="1"/>
  </cols>
  <sheetData>
    <row r="1" spans="1:26" ht="32.25" customHeight="1">
      <c r="A1" s="22"/>
      <c r="B1" s="22"/>
      <c r="C1" s="22"/>
      <c r="D1" s="22"/>
      <c r="E1" s="22"/>
      <c r="F1" s="22"/>
      <c r="G1" s="22"/>
      <c r="H1" s="45" t="s">
        <v>33</v>
      </c>
      <c r="I1" s="22"/>
      <c r="J1" s="45" t="s">
        <v>34</v>
      </c>
      <c r="K1" s="22"/>
      <c r="L1" s="45" t="s">
        <v>35</v>
      </c>
      <c r="M1" s="22"/>
      <c r="N1" s="22"/>
      <c r="O1" s="22"/>
      <c r="P1" s="22"/>
      <c r="Q1" s="22"/>
      <c r="R1" s="22"/>
      <c r="S1" s="22"/>
      <c r="T1" s="22"/>
      <c r="U1" s="22"/>
      <c r="V1" s="22"/>
      <c r="W1" s="22"/>
      <c r="X1" s="22"/>
      <c r="Y1" s="22"/>
      <c r="Z1" s="22"/>
    </row>
    <row r="2" spans="1:26" ht="63" customHeight="1">
      <c r="A2" s="22"/>
      <c r="B2" s="23"/>
      <c r="C2" s="24"/>
      <c r="D2" s="24"/>
      <c r="E2" s="25"/>
      <c r="F2" s="26"/>
      <c r="G2" s="26"/>
      <c r="H2" s="47">
        <f ca="1">SUM(_xlfn.ANCHORARRAY(H8))</f>
        <v>106750.16</v>
      </c>
      <c r="I2" s="26"/>
      <c r="J2" s="47">
        <f ca="1">SUM(_xlfn.ANCHORARRAY(J8))</f>
        <v>-646.74000000000058</v>
      </c>
      <c r="K2" s="22"/>
      <c r="L2" s="46">
        <f ca="1">SUM(_xlfn.ANCHORARRAY(K8))</f>
        <v>-8561.654999999997</v>
      </c>
      <c r="M2" s="27"/>
      <c r="N2" s="22"/>
      <c r="O2" s="22"/>
      <c r="P2" s="22"/>
      <c r="Q2" s="22"/>
      <c r="R2" s="22"/>
      <c r="S2" s="22"/>
      <c r="T2" s="22"/>
      <c r="U2" s="22"/>
      <c r="V2" s="22"/>
      <c r="W2" s="22"/>
      <c r="X2" s="22"/>
      <c r="Y2" s="22"/>
      <c r="Z2" s="22"/>
    </row>
    <row r="3" spans="1:26" ht="12" customHeight="1">
      <c r="A3" s="22"/>
      <c r="B3" s="28"/>
      <c r="C3" s="29"/>
      <c r="D3" s="29"/>
      <c r="E3" s="30"/>
      <c r="F3" s="31"/>
      <c r="G3" s="32"/>
      <c r="H3" s="33"/>
      <c r="I3" s="31"/>
      <c r="J3" s="22"/>
      <c r="K3" s="22"/>
      <c r="L3" s="22"/>
      <c r="M3" s="22"/>
      <c r="N3" s="22"/>
      <c r="O3" s="22"/>
      <c r="P3" s="22"/>
      <c r="Q3" s="22"/>
      <c r="R3" s="22"/>
      <c r="S3" s="22"/>
      <c r="T3" s="22"/>
      <c r="U3" s="22"/>
      <c r="V3" s="22"/>
      <c r="W3" s="22"/>
      <c r="X3" s="22"/>
      <c r="Y3" s="22"/>
      <c r="Z3" s="22"/>
    </row>
    <row r="4" spans="1:26" ht="7.5" customHeight="1">
      <c r="A4" s="22"/>
      <c r="B4" s="22"/>
      <c r="C4" s="22"/>
      <c r="D4" s="22"/>
      <c r="E4" s="22"/>
      <c r="F4" s="22"/>
      <c r="G4" s="22"/>
      <c r="H4" s="22"/>
      <c r="I4" s="22"/>
      <c r="J4" s="22"/>
      <c r="K4" s="22"/>
      <c r="L4" s="22"/>
      <c r="M4" s="22"/>
      <c r="N4" s="22"/>
      <c r="O4" s="22"/>
      <c r="P4" s="22"/>
      <c r="Q4" s="22"/>
      <c r="R4" s="22"/>
      <c r="S4" s="22"/>
      <c r="T4" s="22"/>
      <c r="U4" s="22"/>
      <c r="V4" s="22"/>
      <c r="W4" s="22"/>
      <c r="X4" s="22"/>
      <c r="Y4" s="22"/>
      <c r="Z4" s="22"/>
    </row>
    <row r="5" spans="1:26" ht="14.25" customHeight="1"/>
    <row r="6" spans="1:26" ht="14.25" customHeight="1">
      <c r="B6" s="55" t="s">
        <v>0</v>
      </c>
      <c r="C6" s="56"/>
      <c r="D6" s="56"/>
      <c r="E6" s="56"/>
      <c r="F6" s="56"/>
      <c r="G6" s="56"/>
      <c r="H6" s="56"/>
      <c r="I6" s="56"/>
      <c r="J6" s="56"/>
      <c r="K6" s="56"/>
      <c r="L6" s="56"/>
      <c r="M6" s="57"/>
    </row>
    <row r="7" spans="1:26" ht="14.25" customHeight="1">
      <c r="B7" s="21" t="s">
        <v>1</v>
      </c>
      <c r="C7" s="21" t="s">
        <v>2</v>
      </c>
      <c r="D7" s="21" t="s">
        <v>3</v>
      </c>
      <c r="E7" s="21"/>
      <c r="F7" s="21" t="s">
        <v>4</v>
      </c>
      <c r="G7" s="21" t="s">
        <v>5</v>
      </c>
      <c r="H7" s="21" t="s">
        <v>6</v>
      </c>
      <c r="I7" s="21" t="s">
        <v>7</v>
      </c>
      <c r="J7" s="21" t="s">
        <v>8</v>
      </c>
      <c r="K7" s="21" t="s">
        <v>9</v>
      </c>
      <c r="L7" s="21" t="s">
        <v>10</v>
      </c>
      <c r="M7" s="21" t="s">
        <v>11</v>
      </c>
      <c r="T7" s="49"/>
    </row>
    <row r="8" spans="1:26" ht="14.25" customHeight="1">
      <c r="B8" s="2" t="e" cm="1" vm="1">
        <f t="array" ref="B8:B16">_xlfn.UNIQUE(Table_1[Equity/Stock])</f>
        <v>#VALUE!</v>
      </c>
      <c r="C8" s="2" t="str" cm="1">
        <f t="array" aca="1" ref="C8:C16" ca="1">_FV(_xlfn.ANCHORARRAY(B8),"Ticker symbol",TRUE)</f>
        <v>TSLA</v>
      </c>
      <c r="D8" s="2" t="str" cm="1">
        <f t="array" aca="1" ref="D8:D16" ca="1">_FV(_xlfn.ANCHORARRAY(B8),"Industry")</f>
        <v>Automobiles &amp; Auto Parts</v>
      </c>
      <c r="E8" s="2"/>
      <c r="F8" s="18" cm="1">
        <f t="array" ref="F8:F16">SUMIF(Table_1[Equity/Stock],_xlfn.ANCHORARRAY(Main!B8),Table_1[Units])</f>
        <v>30</v>
      </c>
      <c r="G8" s="40" cm="1">
        <f t="array" aca="1" ref="G8:G16" ca="1">_FV(_xlfn.ANCHORARRAY(B8),"Price")</f>
        <v>346.3</v>
      </c>
      <c r="H8" s="42" cm="1">
        <f t="array" aca="1" ref="H8:H16" ca="1">_xlfn.ANCHORARRAY(G8)*_xlfn.ANCHORARRAY(F8)</f>
        <v>10389</v>
      </c>
      <c r="I8" s="44">
        <f ca="1">H8/SUM(_xlfn.ANCHORARRAY(H8))</f>
        <v>9.7320697224247715E-2</v>
      </c>
      <c r="J8" s="42" cm="1">
        <f t="array" aca="1" ref="J8:J16" ca="1">(_xlfn.ANCHORARRAY(G8)-_FV(_xlfn.ANCHORARRAY(B8),"Previous close",TRUE))*_xlfn.ANCHORARRAY(F8)</f>
        <v>20.400000000000205</v>
      </c>
      <c r="K8" s="41" cm="1">
        <f t="array" aca="1" ref="K8:K16" ca="1">_xlfn.ANCHORARRAY(H8)-SUMIF(Table_1[Equity/Stock],_xlfn.ANCHORARRAY(Main!B8),Table_1[Total Transaction Amount (Market Value)])</f>
        <v>-2356.1999999999989</v>
      </c>
      <c r="L8" s="41" cm="1">
        <f t="array" aca="1" ref="L8:L16" ca="1">_FV(_xlfn.ANCHORARRAY(B8),"52 week high",TRUE)</f>
        <v>498.83</v>
      </c>
      <c r="M8" s="41" cm="1">
        <f t="array" aca="1" ref="M8:M16" ca="1">_FV(_xlfn.ANCHORARRAY(B8),"52 week low",TRUE)</f>
        <v>222.79</v>
      </c>
      <c r="T8" s="49"/>
    </row>
    <row r="9" spans="1:26" ht="14.25" customHeight="1">
      <c r="B9" s="2" t="e" vm="2">
        <v>#VALUE!</v>
      </c>
      <c r="C9" s="2" t="str">
        <f ca="1"/>
        <v>NFLX</v>
      </c>
      <c r="D9" s="2" t="str">
        <f ca="1"/>
        <v>Software &amp; IT Services</v>
      </c>
      <c r="E9" s="2"/>
      <c r="F9" s="18">
        <v>20</v>
      </c>
      <c r="G9" s="40">
        <f ca="1"/>
        <v>102.19</v>
      </c>
      <c r="H9" s="42">
        <f ca="1"/>
        <v>2043.8</v>
      </c>
      <c r="I9" s="44">
        <f ca="1">H9/SUM(_xlfn.ANCHORARRAY($H$8))</f>
        <v>1.9145638751267444E-2</v>
      </c>
      <c r="J9" s="42">
        <f ca="1"/>
        <v>2.8000000000000114</v>
      </c>
      <c r="K9" s="41">
        <f ca="1"/>
        <v>2261.8850000000002</v>
      </c>
      <c r="L9" s="41">
        <f ca="1"/>
        <v>134.11500000000001</v>
      </c>
      <c r="M9" s="41">
        <f ca="1"/>
        <v>75.010000000000005</v>
      </c>
      <c r="T9" s="49"/>
    </row>
    <row r="10" spans="1:26" ht="14.25" customHeight="1">
      <c r="B10" s="2" t="e" vm="3">
        <v>#VALUE!</v>
      </c>
      <c r="C10" s="2" t="str">
        <f ca="1"/>
        <v>BRK.B</v>
      </c>
      <c r="D10" s="2" t="str">
        <f ca="1"/>
        <v>Consumer Goods Conglomerates</v>
      </c>
      <c r="E10" s="20"/>
      <c r="F10" s="18">
        <v>50</v>
      </c>
      <c r="G10" s="40">
        <f ca="1"/>
        <v>480</v>
      </c>
      <c r="H10" s="42">
        <f ca="1"/>
        <v>24000</v>
      </c>
      <c r="I10" s="44">
        <f t="shared" ref="I10:I15" ca="1" si="0">H10/SUM(_xlfn.ANCHORARRAY($H$8))</f>
        <v>0.22482401899912843</v>
      </c>
      <c r="J10" s="42">
        <f ca="1"/>
        <v>-259.99999999999943</v>
      </c>
      <c r="K10" s="41">
        <f ca="1"/>
        <v>-1876.5</v>
      </c>
      <c r="L10" s="41">
        <f ca="1"/>
        <v>542.07000000000005</v>
      </c>
      <c r="M10" s="41">
        <f ca="1"/>
        <v>455.185</v>
      </c>
      <c r="T10" s="49"/>
    </row>
    <row r="11" spans="1:26" ht="14.25" customHeight="1">
      <c r="B11" s="2" t="e" vm="4">
        <v>#VALUE!</v>
      </c>
      <c r="C11" s="2" t="str">
        <f ca="1"/>
        <v>AXP</v>
      </c>
      <c r="D11" s="2" t="str">
        <f ca="1"/>
        <v>Banking Services</v>
      </c>
      <c r="E11" s="2"/>
      <c r="F11" s="18">
        <v>30</v>
      </c>
      <c r="G11" s="40">
        <f ca="1"/>
        <v>314.45</v>
      </c>
      <c r="H11" s="42">
        <f ca="1"/>
        <v>9433.5</v>
      </c>
      <c r="I11" s="44">
        <f t="shared" ca="1" si="0"/>
        <v>8.8369890967844922E-2</v>
      </c>
      <c r="J11" s="42">
        <f ca="1"/>
        <v>-99.599999999999795</v>
      </c>
      <c r="K11" s="41">
        <f ca="1"/>
        <v>438</v>
      </c>
      <c r="L11" s="41">
        <f ca="1"/>
        <v>387.49</v>
      </c>
      <c r="M11" s="41">
        <f ca="1"/>
        <v>238.5196</v>
      </c>
      <c r="T11" s="49"/>
    </row>
    <row r="12" spans="1:26" ht="14.25" customHeight="1">
      <c r="B12" s="2" t="e" vm="5">
        <v>#VALUE!</v>
      </c>
      <c r="C12" s="2" t="str">
        <f ca="1"/>
        <v>MSFT</v>
      </c>
      <c r="D12" s="2" t="str">
        <f ca="1"/>
        <v>Software &amp; IT Services</v>
      </c>
      <c r="E12" s="2"/>
      <c r="F12" s="18">
        <v>20</v>
      </c>
      <c r="G12" s="40">
        <f ca="1"/>
        <v>371.41</v>
      </c>
      <c r="H12" s="42">
        <f ca="1"/>
        <v>7428.2000000000007</v>
      </c>
      <c r="I12" s="44">
        <f t="shared" ca="1" si="0"/>
        <v>6.9584907413721919E-2</v>
      </c>
      <c r="J12" s="42">
        <f ca="1"/>
        <v>-33.199999999999363</v>
      </c>
      <c r="K12" s="41">
        <f ca="1"/>
        <v>-3022.9999999999982</v>
      </c>
      <c r="L12" s="41">
        <f ca="1"/>
        <v>555.45000000000005</v>
      </c>
      <c r="M12" s="41">
        <f ca="1"/>
        <v>355.67</v>
      </c>
      <c r="T12" s="49"/>
    </row>
    <row r="13" spans="1:26" ht="14.25" customHeight="1">
      <c r="B13" t="e" vm="6">
        <v>#VALUE!</v>
      </c>
      <c r="C13" t="str">
        <f ca="1"/>
        <v>BLK</v>
      </c>
      <c r="D13" t="str">
        <f ca="1"/>
        <v>Investment Banking &amp; Investment Services</v>
      </c>
      <c r="F13" s="39">
        <v>15</v>
      </c>
      <c r="G13" s="37">
        <f ca="1"/>
        <v>999.35</v>
      </c>
      <c r="H13" s="43">
        <f ca="1"/>
        <v>14990.25</v>
      </c>
      <c r="I13" s="44">
        <f t="shared" ca="1" si="0"/>
        <v>0.14042367711673687</v>
      </c>
      <c r="J13" s="43">
        <f ca="1"/>
        <v>-34.049999999999727</v>
      </c>
      <c r="K13" s="39">
        <f ca="1"/>
        <v>-1897.6499999999978</v>
      </c>
      <c r="L13" s="39">
        <f ca="1"/>
        <v>1219.9399000000001</v>
      </c>
      <c r="M13" s="39">
        <f ca="1"/>
        <v>833.09500000000003</v>
      </c>
    </row>
    <row r="14" spans="1:26" ht="15.75" customHeight="1">
      <c r="B14" t="e" vm="7">
        <v>#VALUE!</v>
      </c>
      <c r="C14" t="str">
        <f ca="1"/>
        <v>GS</v>
      </c>
      <c r="D14" t="str">
        <f ca="1"/>
        <v>Investment Banking &amp; Investment Services</v>
      </c>
      <c r="F14" s="39">
        <v>20</v>
      </c>
      <c r="G14" s="37">
        <f ca="1"/>
        <v>906.75</v>
      </c>
      <c r="H14" s="43">
        <f ca="1"/>
        <v>18135</v>
      </c>
      <c r="I14" s="44">
        <f t="shared" ca="1" si="0"/>
        <v>0.16988264935621641</v>
      </c>
      <c r="J14" s="43">
        <f ca="1"/>
        <v>60.599999999999454</v>
      </c>
      <c r="K14" s="39">
        <f ca="1"/>
        <v>2326.1999999999989</v>
      </c>
      <c r="L14" s="39">
        <f ca="1"/>
        <v>984.7</v>
      </c>
      <c r="M14" s="39">
        <f ca="1"/>
        <v>474</v>
      </c>
    </row>
    <row r="15" spans="1:26" ht="15.75" customHeight="1">
      <c r="B15" t="e" vm="8">
        <v>#VALUE!</v>
      </c>
      <c r="C15" t="str">
        <f ca="1"/>
        <v>V</v>
      </c>
      <c r="D15" t="str">
        <f ca="1"/>
        <v>Professional &amp; Commercial Services</v>
      </c>
      <c r="E15" s="3"/>
      <c r="F15" s="39">
        <v>50</v>
      </c>
      <c r="G15" s="37">
        <f ca="1"/>
        <v>304.59219999999999</v>
      </c>
      <c r="H15" s="43">
        <f ca="1"/>
        <v>15229.609999999999</v>
      </c>
      <c r="I15" s="44">
        <f t="shared" ca="1" si="0"/>
        <v>0.14266592199955483</v>
      </c>
      <c r="J15" s="43">
        <f ca="1"/>
        <v>-184.89000000000146</v>
      </c>
      <c r="K15" s="39">
        <f ca="1"/>
        <v>-2454.3900000000012</v>
      </c>
      <c r="L15" s="39">
        <f ca="1"/>
        <v>375.51</v>
      </c>
      <c r="M15" s="39">
        <f ca="1"/>
        <v>293.89</v>
      </c>
    </row>
    <row r="16" spans="1:26" ht="14.25" customHeight="1">
      <c r="B16" t="e" vm="9">
        <v>#VALUE!</v>
      </c>
      <c r="C16" t="str">
        <f ca="1"/>
        <v>PLTR</v>
      </c>
      <c r="D16" t="str">
        <f ca="1"/>
        <v>Software &amp; IT Services</v>
      </c>
      <c r="F16" s="39">
        <v>40</v>
      </c>
      <c r="G16" s="37">
        <f ca="1"/>
        <v>127.52</v>
      </c>
      <c r="H16" s="43">
        <f ca="1"/>
        <v>5100.8</v>
      </c>
      <c r="I16" s="44">
        <f ca="1">H16/SUM(_xlfn.ANCHORARRAY($H$8))</f>
        <v>4.7782598171281429E-2</v>
      </c>
      <c r="J16" s="43">
        <f ca="1"/>
        <v>-118.80000000000052</v>
      </c>
      <c r="K16" s="39">
        <f ca="1"/>
        <v>-1980</v>
      </c>
      <c r="L16" s="39">
        <f ca="1"/>
        <v>207.52</v>
      </c>
      <c r="M16" s="39">
        <f ca="1"/>
        <v>84.14</v>
      </c>
    </row>
    <row r="17" spans="2:13" ht="6.75" customHeight="1"/>
    <row r="18" spans="2:13" ht="14.25" customHeight="1"/>
    <row r="19" spans="2:13" ht="14.25" customHeight="1"/>
    <row r="20" spans="2:13" ht="14.25" customHeight="1"/>
    <row r="21" spans="2:13" ht="14.25" customHeight="1"/>
    <row r="22" spans="2:13" ht="14.25" customHeight="1"/>
    <row r="23" spans="2:13" ht="14.25" customHeight="1"/>
    <row r="24" spans="2:13" ht="14.25" customHeight="1">
      <c r="B24" s="55" t="s">
        <v>12</v>
      </c>
      <c r="C24" s="56"/>
      <c r="E24" s="58" t="s">
        <v>13</v>
      </c>
      <c r="F24" s="58"/>
      <c r="G24" s="58"/>
      <c r="I24" s="58" t="s">
        <v>14</v>
      </c>
      <c r="J24" s="59"/>
      <c r="K24" s="59"/>
      <c r="L24" s="59"/>
      <c r="M24" s="60"/>
    </row>
    <row r="25" spans="2:13" ht="14.25" customHeight="1">
      <c r="I25" s="4"/>
      <c r="J25" s="5"/>
      <c r="K25" s="5"/>
      <c r="L25" s="5"/>
      <c r="M25" s="5"/>
    </row>
    <row r="26" spans="2:13" ht="14.25" customHeight="1">
      <c r="I26" s="6" t="s">
        <v>15</v>
      </c>
      <c r="J26" s="34" t="s">
        <v>36</v>
      </c>
      <c r="L26" s="6" t="s">
        <v>16</v>
      </c>
      <c r="M26" s="35">
        <v>3</v>
      </c>
    </row>
    <row r="27" spans="2:13" ht="14.25" customHeight="1"/>
    <row r="28" spans="2:13" ht="14.25" customHeight="1">
      <c r="I28" s="50"/>
      <c r="J28" s="51"/>
      <c r="K28" s="51"/>
      <c r="L28" s="51"/>
      <c r="M28" s="52"/>
    </row>
    <row r="29" spans="2:13" ht="14.25" customHeight="1"/>
    <row r="30" spans="2:13" ht="14.25" customHeight="1"/>
    <row r="31" spans="2:13" ht="14.25" customHeight="1"/>
    <row r="32" spans="2:13" ht="14.25" customHeight="1"/>
    <row r="33" spans="9:11" ht="14.25" customHeight="1"/>
    <row r="34" spans="9:11" ht="6.75" customHeight="1"/>
    <row r="35" spans="9:11" ht="14.25" customHeight="1"/>
    <row r="36" spans="9:11" ht="14.25" customHeight="1"/>
    <row r="37" spans="9:11" ht="14.25" customHeight="1"/>
    <row r="38" spans="9:11" ht="14.25" customHeight="1"/>
    <row r="39" spans="9:11" ht="14.25" customHeight="1"/>
    <row r="40" spans="9:11" ht="14.25" customHeight="1"/>
    <row r="41" spans="9:11" ht="14.25" customHeight="1"/>
    <row r="42" spans="9:11" ht="14.25" customHeight="1"/>
    <row r="43" spans="9:11" ht="14.25" customHeight="1"/>
    <row r="44" spans="9:11" ht="14.25" customHeight="1"/>
    <row r="45" spans="9:11" ht="14.25" customHeight="1"/>
    <row r="46" spans="9:11" ht="14.25" customHeight="1"/>
    <row r="47" spans="9:11" ht="14.25" customHeight="1"/>
    <row r="48" spans="9:11" ht="14.25" customHeight="1">
      <c r="I48" s="6" t="s">
        <v>17</v>
      </c>
      <c r="J48" s="53" t="s">
        <v>38</v>
      </c>
      <c r="K48" s="54"/>
    </row>
    <row r="49" spans="9:13" ht="14.25" customHeight="1"/>
    <row r="50" spans="9:13" ht="14.25" customHeight="1">
      <c r="I50" s="50" t="str">
        <f>M26&amp;" Month Trailing Closing Prices"</f>
        <v>3 Month Trailing Closing Prices</v>
      </c>
      <c r="J50" s="51"/>
      <c r="K50" s="51"/>
      <c r="L50" s="51"/>
      <c r="M50" s="52"/>
    </row>
    <row r="51" spans="9:13" ht="14.25" customHeight="1"/>
    <row r="52" spans="9:13" ht="14.25" customHeight="1"/>
    <row r="53" spans="9:13" ht="14.25" customHeight="1"/>
    <row r="54" spans="9:13" ht="14.25" customHeight="1"/>
    <row r="55" spans="9:13" ht="14.25" customHeight="1"/>
    <row r="56" spans="9:13" ht="14.25" customHeight="1"/>
    <row r="57" spans="9:13" ht="14.25" customHeight="1"/>
    <row r="58" spans="9:13" ht="14.25" customHeight="1"/>
    <row r="59" spans="9:13" ht="14.25" customHeight="1"/>
    <row r="60" spans="9:13" ht="14.25" customHeight="1"/>
    <row r="61" spans="9:13" ht="14.25" customHeight="1"/>
    <row r="62" spans="9:13" ht="14.25" customHeight="1"/>
    <row r="63" spans="9:13" ht="14.25" customHeight="1"/>
    <row r="64" spans="9:13"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6Z8I159bAJmQsjEvppvsXKK4sz7/HgWNMWbNXYyIOV41ju3lRCNv0ycse2c/3taelWbiNsWc+TYPdx4DrdlyUw==" saltValue="Cj9dEVTZ2hQ6jdFdENR4NQ==" spinCount="100000" sheet="1" objects="1" scenarios="1" selectLockedCells="1" selectUnlockedCells="1"/>
  <mergeCells count="7">
    <mergeCell ref="I28:M28"/>
    <mergeCell ref="J48:K48"/>
    <mergeCell ref="I50:M50"/>
    <mergeCell ref="B6:M6"/>
    <mergeCell ref="B24:C24"/>
    <mergeCell ref="E24:G24"/>
    <mergeCell ref="I24:M24"/>
  </mergeCells>
  <dataValidations count="2">
    <dataValidation type="list" allowBlank="1" showInputMessage="1" showErrorMessage="1" sqref="J26" xr:uid="{43610AF0-3BD4-4F9D-9AB5-793E0F1AE5A6}">
      <formula1>$C$8:$C$16</formula1>
    </dataValidation>
    <dataValidation type="list" allowBlank="1" showInputMessage="1" showErrorMessage="1" sqref="M26" xr:uid="{6CC29407-5AB6-44A4-BA7F-B69DD7D954CF}">
      <formula1>"1,3,6,9,12"</formula1>
    </dataValidation>
  </dataValidation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1000"/>
  <sheetViews>
    <sheetView showGridLines="0" topLeftCell="B1" zoomScale="130" zoomScaleNormal="130" workbookViewId="0">
      <selection activeCell="C20" sqref="C20"/>
    </sheetView>
  </sheetViews>
  <sheetFormatPr defaultColWidth="14.42578125" defaultRowHeight="15" customHeight="1"/>
  <cols>
    <col min="1" max="1" width="8.85546875" customWidth="1"/>
    <col min="2" max="2" width="23.85546875" customWidth="1"/>
    <col min="3" max="3" width="43.85546875" customWidth="1"/>
    <col min="4" max="4" width="10.5703125" customWidth="1"/>
    <col min="5" max="5" width="17.42578125" customWidth="1"/>
    <col min="6" max="6" width="7.42578125" customWidth="1"/>
    <col min="7" max="7" width="16.140625" customWidth="1"/>
    <col min="8" max="8" width="36.85546875" customWidth="1"/>
    <col min="9" max="9" width="10.42578125" customWidth="1"/>
    <col min="10" max="26" width="8.85546875" customWidth="1"/>
  </cols>
  <sheetData>
    <row r="1" spans="2:9" ht="48" customHeight="1">
      <c r="B1" s="61" t="s">
        <v>32</v>
      </c>
      <c r="C1" s="61"/>
      <c r="D1" s="61"/>
      <c r="E1" s="61"/>
      <c r="F1" s="61"/>
      <c r="G1" s="61"/>
      <c r="H1" s="61"/>
      <c r="I1" s="61"/>
    </row>
    <row r="2" spans="2:9" ht="14.25" customHeight="1">
      <c r="B2" s="7" t="s">
        <v>18</v>
      </c>
      <c r="C2" s="7" t="s">
        <v>31</v>
      </c>
      <c r="D2" s="7" t="s">
        <v>2</v>
      </c>
      <c r="E2" s="7" t="s">
        <v>19</v>
      </c>
      <c r="F2" s="7" t="s">
        <v>20</v>
      </c>
      <c r="G2" s="7" t="s">
        <v>21</v>
      </c>
      <c r="H2" s="38" t="s">
        <v>37</v>
      </c>
      <c r="I2" s="7" t="s">
        <v>22</v>
      </c>
    </row>
    <row r="3" spans="2:9" ht="14.25" customHeight="1">
      <c r="B3" s="8">
        <v>45638</v>
      </c>
      <c r="C3" s="1" t="e" vm="1">
        <v>#VALUE!</v>
      </c>
      <c r="D3" s="1" t="str">
        <f t="array" aca="1" ref="D3" ca="1">_FV(Transactions!$C3,"Ticker symbol",TRUE)</f>
        <v>TSLA</v>
      </c>
      <c r="E3" s="7" t="s">
        <v>23</v>
      </c>
      <c r="F3" s="9">
        <v>30</v>
      </c>
      <c r="G3" s="10" cm="1" vm="10">
        <f t="array" aca="1" ref="G3" ca="1">_xlfn.STOCKHISTORY(Table_1[[#This Row],[Equity/Stock]],Table_1[[#This Row],[Date]],Table_1[[#This Row],[Date]],0,0,2)</f>
        <v>424.84</v>
      </c>
      <c r="H3" s="11">
        <f ca="1">Transactions!$G3*Transactions!$F3</f>
        <v>12745.199999999999</v>
      </c>
      <c r="I3" s="1" t="s">
        <v>24</v>
      </c>
    </row>
    <row r="4" spans="2:9" ht="14.25" customHeight="1">
      <c r="B4" s="8">
        <v>45754</v>
      </c>
      <c r="C4" s="1" t="e" vm="2">
        <v>#VALUE!</v>
      </c>
      <c r="D4" s="1" t="str">
        <f t="array" aca="1" ref="D4" ca="1">_FV(Transactions!$C4,"Ticker symbol",TRUE)</f>
        <v>NFLX</v>
      </c>
      <c r="E4" s="7" t="s">
        <v>23</v>
      </c>
      <c r="F4" s="9">
        <v>70</v>
      </c>
      <c r="G4" s="10" cm="1" vm="11">
        <f t="array" aca="1" ref="G4" ca="1">_xlfn.STOCKHISTORY(Table_1[[#This Row],[Equity/Stock]],Table_1[[#This Row],[Date]],Table_1[[#This Row],[Date]],0,0,2)</f>
        <v>82.784499999999994</v>
      </c>
      <c r="H4" s="11">
        <f ca="1">Transactions!$G4*Transactions!$F4</f>
        <v>5794.915</v>
      </c>
      <c r="I4" s="1" t="str">
        <f t="shared" ref="I4:I10" si="0">I3</f>
        <v>USD</v>
      </c>
    </row>
    <row r="5" spans="2:9" ht="14.25" customHeight="1">
      <c r="B5" s="8">
        <v>45768</v>
      </c>
      <c r="C5" s="36" t="e" vm="3">
        <v>#VALUE!</v>
      </c>
      <c r="D5" s="1" t="str">
        <f t="array" aca="1" ref="D5" ca="1">_FV(Transactions!$C5,"Ticker symbol",TRUE)</f>
        <v>BRK.B</v>
      </c>
      <c r="E5" s="7" t="s">
        <v>23</v>
      </c>
      <c r="F5" s="9">
        <v>50</v>
      </c>
      <c r="G5" s="10" cm="1" vm="12">
        <f t="array" aca="1" ref="G5" ca="1">_xlfn.STOCKHISTORY(Table_1[[#This Row],[Equity/Stock]],Table_1[[#This Row],[Date]],Table_1[[#This Row],[Date]],0,0,2)</f>
        <v>517.53</v>
      </c>
      <c r="H5" s="11">
        <f ca="1">Transactions!$G5*Transactions!$F5</f>
        <v>25876.5</v>
      </c>
      <c r="I5" s="1" t="str">
        <f t="shared" si="0"/>
        <v>USD</v>
      </c>
    </row>
    <row r="6" spans="2:9" ht="14.25" customHeight="1">
      <c r="B6" s="8">
        <v>45819</v>
      </c>
      <c r="C6" s="36" t="e" vm="2">
        <v>#VALUE!</v>
      </c>
      <c r="D6" s="1" t="str" cm="1">
        <f t="array" aca="1" ref="D6" ca="1">_FV(Transactions!$C6,"Ticker symbol",TRUE)</f>
        <v>NFLX</v>
      </c>
      <c r="E6" s="7" t="s">
        <v>25</v>
      </c>
      <c r="F6" s="9">
        <v>-50</v>
      </c>
      <c r="G6" s="10" cm="1" vm="13">
        <f t="array" aca="1" ref="G6" ca="1">_xlfn.STOCKHISTORY(Table_1[[#This Row],[Equity/Stock]],Table_1[[#This Row],[Date]],Table_1[[#This Row],[Date]],0,0,2)</f>
        <v>120.26</v>
      </c>
      <c r="H6" s="11">
        <f ca="1">Transactions!$G6*Transactions!$F6</f>
        <v>-6013</v>
      </c>
      <c r="I6" s="1" t="str">
        <f t="shared" si="0"/>
        <v>USD</v>
      </c>
    </row>
    <row r="7" spans="2:9" ht="14.25" customHeight="1">
      <c r="B7" s="8">
        <v>45874</v>
      </c>
      <c r="C7" s="1" t="e" vm="4">
        <v>#VALUE!</v>
      </c>
      <c r="D7" s="1" t="str">
        <f t="array" aca="1" ref="D7" ca="1">_FV(Transactions!$C7,"Ticker symbol",TRUE)</f>
        <v>AXP</v>
      </c>
      <c r="E7" s="7" t="s">
        <v>23</v>
      </c>
      <c r="F7" s="9">
        <v>30</v>
      </c>
      <c r="G7" s="10" cm="1" vm="14">
        <f t="array" aca="1" ref="G7" ca="1">_xlfn.STOCKHISTORY(Table_1[[#This Row],[Equity/Stock]],Table_1[[#This Row],[Date]],Table_1[[#This Row],[Date]],0,0,2)</f>
        <v>299.85000000000002</v>
      </c>
      <c r="H7" s="11">
        <f ca="1">Transactions!$G7*Transactions!$F7</f>
        <v>8995.5</v>
      </c>
      <c r="I7" s="1" t="str">
        <f t="shared" si="0"/>
        <v>USD</v>
      </c>
    </row>
    <row r="8" spans="2:9" ht="14.25" customHeight="1">
      <c r="B8" s="8">
        <v>45883</v>
      </c>
      <c r="C8" s="1" t="e" vm="5">
        <v>#VALUE!</v>
      </c>
      <c r="D8" s="1" t="str">
        <f t="array" aca="1" ref="D8" ca="1">_FV(Transactions!$C8,"Ticker symbol",TRUE)</f>
        <v>MSFT</v>
      </c>
      <c r="E8" s="38" t="s">
        <v>23</v>
      </c>
      <c r="F8" s="9">
        <v>20</v>
      </c>
      <c r="G8" s="10" cm="1" vm="15">
        <f t="array" aca="1" ref="G8" ca="1">_xlfn.STOCKHISTORY(Table_1[[#This Row],[Equity/Stock]],Table_1[[#This Row],[Date]],Table_1[[#This Row],[Date]],0,0,2)</f>
        <v>522.55999999999995</v>
      </c>
      <c r="H8" s="11">
        <f ca="1">Transactions!$G8*Transactions!$F8</f>
        <v>10451.199999999999</v>
      </c>
      <c r="I8" s="1" t="str">
        <f t="shared" si="0"/>
        <v>USD</v>
      </c>
    </row>
    <row r="9" spans="2:9" ht="14.25" customHeight="1">
      <c r="B9" s="8">
        <v>45889</v>
      </c>
      <c r="C9" s="1" t="e" vm="6">
        <v>#VALUE!</v>
      </c>
      <c r="D9" s="1" t="str">
        <f t="array" aca="1" ref="D9" ca="1">_FV(Transactions!$C9,"Ticker symbol",TRUE)</f>
        <v>BLK</v>
      </c>
      <c r="E9" s="7" t="s">
        <v>23</v>
      </c>
      <c r="F9" s="9">
        <v>15</v>
      </c>
      <c r="G9" s="10" cm="1" vm="16">
        <f t="array" aca="1" ref="G9" ca="1">_xlfn.STOCKHISTORY(Table_1[[#This Row],[Equity/Stock]],Table_1[[#This Row],[Date]],Table_1[[#This Row],[Date]],0,0,2)</f>
        <v>1125.8599999999999</v>
      </c>
      <c r="H9" s="11">
        <f ca="1">Transactions!$G9*Transactions!$F9</f>
        <v>16887.899999999998</v>
      </c>
      <c r="I9" s="1" t="str">
        <f t="shared" si="0"/>
        <v>USD</v>
      </c>
    </row>
    <row r="10" spans="2:9" ht="14.25" customHeight="1">
      <c r="B10" s="8">
        <v>45966</v>
      </c>
      <c r="C10" s="1" t="e" vm="7">
        <v>#VALUE!</v>
      </c>
      <c r="D10" s="1" t="str" cm="1">
        <f t="array" aca="1" ref="D10" ca="1">_FV(Transactions!$C10,"Ticker symbol",TRUE)</f>
        <v>GS</v>
      </c>
      <c r="E10" s="38" t="s">
        <v>23</v>
      </c>
      <c r="F10" s="9">
        <v>20</v>
      </c>
      <c r="G10" s="10" cm="1" vm="17">
        <f t="array" aca="1" ref="G10" ca="1">_xlfn.STOCKHISTORY(Table_1[[#This Row],[Equity/Stock]],Table_1[[#This Row],[Date]],Table_1[[#This Row],[Date]],0,0,2)</f>
        <v>790.44</v>
      </c>
      <c r="H10" s="11">
        <f ca="1">Transactions!$G10*Transactions!$F10</f>
        <v>15808.800000000001</v>
      </c>
      <c r="I10" s="1" t="str">
        <f t="shared" si="0"/>
        <v>USD</v>
      </c>
    </row>
    <row r="11" spans="2:9" ht="14.25" customHeight="1">
      <c r="B11" s="8">
        <v>46028</v>
      </c>
      <c r="C11" s="1" t="e" vm="8">
        <v>#VALUE!</v>
      </c>
      <c r="D11" s="1" t="str" cm="1">
        <f t="array" aca="1" ref="D11" ca="1">_FV(Table_1[[#This Row],[Equity/Stock]],"Ticker symbol",TRUE)</f>
        <v>V</v>
      </c>
      <c r="E11" s="38" t="s">
        <v>23</v>
      </c>
      <c r="F11" s="9">
        <v>50</v>
      </c>
      <c r="G11" s="10" cm="1" vm="18">
        <f t="array" aca="1" ref="G11" ca="1">_xlfn.STOCKHISTORY(Table_1[[#This Row],[Equity/Stock]],Table_1[[#This Row],[Date]],Table_1[[#This Row],[Date]],0,0,2)</f>
        <v>353.68</v>
      </c>
      <c r="H11" s="11">
        <f ca="1">Transactions!$G11*Transactions!$F11</f>
        <v>17684</v>
      </c>
      <c r="I11" s="36" t="s">
        <v>24</v>
      </c>
    </row>
    <row r="12" spans="2:9" ht="14.25" customHeight="1">
      <c r="B12" s="8">
        <v>46031</v>
      </c>
      <c r="C12" s="1" t="e" vm="9">
        <v>#VALUE!</v>
      </c>
      <c r="D12" s="1" t="str" cm="1">
        <f t="array" aca="1" ref="D12" ca="1">_FV(Table_1[[#This Row],[Equity/Stock]],"Ticker symbol",TRUE)</f>
        <v>PLTR</v>
      </c>
      <c r="E12" s="38" t="s">
        <v>23</v>
      </c>
      <c r="F12" s="9">
        <v>40</v>
      </c>
      <c r="G12" s="10" cm="1" vm="19">
        <f t="array" aca="1" ref="G12" ca="1">_xlfn.STOCKHISTORY(Table_1[[#This Row],[Equity/Stock]],Table_1[[#This Row],[Date]],Table_1[[#This Row],[Date]],0,0,2)</f>
        <v>177.02</v>
      </c>
      <c r="H12" s="11">
        <f ca="1">Transactions!$G12*Transactions!$F12</f>
        <v>7080.8</v>
      </c>
      <c r="I12" s="36" t="s">
        <v>24</v>
      </c>
    </row>
    <row r="13" spans="2:9" ht="14.25" customHeight="1"/>
    <row r="14" spans="2:9" ht="14.25" customHeight="1"/>
    <row r="15" spans="2:9" ht="14.25" customHeight="1">
      <c r="D15" s="12"/>
    </row>
    <row r="16" spans="2: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N8Ej/LjHHr0nI06SQUHoxuMUZYcoSfqIUeg6QpAxAmdefphQ1Cz5fxZOtXy8NHa58Cnvn7kdkM/fKIPT2Cls7Q==" saltValue="JjHhmBmb/CggQUqa9zOkoQ==" spinCount="100000" sheet="1" objects="1" scenarios="1" selectLockedCells="1" selectUnlockedCells="1"/>
  <mergeCells count="1">
    <mergeCell ref="B1:I1"/>
  </mergeCell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election activeCell="G9" sqref="G9"/>
    </sheetView>
  </sheetViews>
  <sheetFormatPr defaultColWidth="14.42578125" defaultRowHeight="15" customHeight="1"/>
  <cols>
    <col min="1" max="1" width="3" customWidth="1"/>
    <col min="2" max="2" width="10.85546875" customWidth="1"/>
    <col min="3" max="3" width="10.140625" customWidth="1"/>
    <col min="4" max="4" width="8.5703125" customWidth="1"/>
    <col min="5" max="5" width="16" customWidth="1"/>
    <col min="6" max="6" width="25.5703125" customWidth="1"/>
    <col min="7" max="7" width="8.85546875" customWidth="1"/>
    <col min="8" max="8" width="10.28515625" customWidth="1"/>
    <col min="9" max="26" width="8.85546875" customWidth="1"/>
  </cols>
  <sheetData>
    <row r="1" spans="1:26" ht="14.25" customHeight="1">
      <c r="A1" s="5"/>
    </row>
    <row r="2" spans="1:26" ht="14.25" customHeight="1">
      <c r="A2" s="4"/>
      <c r="B2" s="62" t="s">
        <v>26</v>
      </c>
      <c r="C2" s="63"/>
      <c r="E2" s="62" t="s">
        <v>27</v>
      </c>
      <c r="F2" s="63"/>
    </row>
    <row r="3" spans="1:26" ht="6" customHeight="1">
      <c r="A3" s="4"/>
      <c r="B3" s="13"/>
      <c r="C3" s="13"/>
      <c r="D3" s="5"/>
      <c r="E3" s="13"/>
      <c r="F3" s="13"/>
      <c r="G3" s="5"/>
      <c r="H3" s="5"/>
      <c r="I3" s="5"/>
      <c r="J3" s="5"/>
      <c r="K3" s="5"/>
      <c r="L3" s="5"/>
      <c r="M3" s="5"/>
      <c r="N3" s="5"/>
      <c r="O3" s="5"/>
      <c r="P3" s="5"/>
      <c r="Q3" s="5"/>
      <c r="R3" s="5"/>
      <c r="S3" s="5"/>
      <c r="T3" s="5"/>
      <c r="U3" s="5"/>
      <c r="V3" s="5"/>
      <c r="W3" s="5"/>
      <c r="X3" s="5"/>
      <c r="Y3" s="5"/>
      <c r="Z3" s="5"/>
    </row>
    <row r="4" spans="1:26" ht="14.25" customHeight="1">
      <c r="A4" s="4"/>
      <c r="B4" s="6" t="s">
        <v>28</v>
      </c>
      <c r="C4" s="48" t="str">
        <f>Main!J26</f>
        <v>NFLX</v>
      </c>
      <c r="E4" s="6" t="s">
        <v>29</v>
      </c>
      <c r="F4" s="48" t="str">
        <f>Main!J48</f>
        <v>TSLA</v>
      </c>
    </row>
    <row r="5" spans="1:26" ht="14.25" customHeight="1">
      <c r="A5" s="5"/>
      <c r="B5" s="6" t="s">
        <v>30</v>
      </c>
      <c r="C5" s="48">
        <f>Main!M26</f>
        <v>3</v>
      </c>
      <c r="E5" s="6" t="s">
        <v>30</v>
      </c>
      <c r="F5" s="48">
        <f>Main!M26</f>
        <v>3</v>
      </c>
    </row>
    <row r="6" spans="1:26" ht="14.25" customHeight="1">
      <c r="A6" s="5"/>
    </row>
    <row r="7" spans="1:26" ht="14.25" customHeight="1">
      <c r="A7" s="5"/>
      <c r="B7" s="14" t="str" cm="1">
        <f t="array" aca="1" ref="B7:C68" ca="1">_xlfn.STOCKHISTORY(C4,EDATE(TODAY(),-C5),TODAY())</f>
        <v>Date</v>
      </c>
      <c r="C7" s="14" t="str">
        <f ca="1"/>
        <v>Close</v>
      </c>
      <c r="D7" s="15"/>
      <c r="E7" s="14" t="str" cm="1">
        <f t="array" aca="1" ref="E7:F68" ca="1">_xlfn.STOCKHISTORY(F4,EDATE(TODAY(),-F5),TODAY())</f>
        <v>Date</v>
      </c>
      <c r="F7" s="16" t="str">
        <f ca="1"/>
        <v>Close</v>
      </c>
    </row>
    <row r="8" spans="1:26" ht="14.25" customHeight="1">
      <c r="A8" s="5"/>
      <c r="B8" s="5" vm="20">
        <f ca="1"/>
        <v>46034</v>
      </c>
      <c r="C8" s="17" vm="21">
        <f ca="1"/>
        <v>89.41</v>
      </c>
      <c r="D8" s="5"/>
      <c r="E8" s="18" vm="20">
        <f ca="1"/>
        <v>46034</v>
      </c>
      <c r="F8" s="19" vm="22">
        <f ca="1"/>
        <v>448.96</v>
      </c>
    </row>
    <row r="9" spans="1:26" ht="14.25" customHeight="1">
      <c r="A9" s="5"/>
      <c r="B9" vm="23">
        <f ca="1"/>
        <v>46035</v>
      </c>
      <c r="C9" s="17" vm="24">
        <f ca="1"/>
        <v>90.32</v>
      </c>
      <c r="E9" s="18" vm="23">
        <f ca="1"/>
        <v>46035</v>
      </c>
      <c r="F9" s="17" vm="25">
        <f ca="1"/>
        <v>447.2</v>
      </c>
    </row>
    <row r="10" spans="1:26" ht="14.25" customHeight="1">
      <c r="A10" s="2"/>
      <c r="B10" vm="26">
        <f ca="1"/>
        <v>46036</v>
      </c>
      <c r="C10" s="17" vm="27">
        <f ca="1"/>
        <v>88.55</v>
      </c>
      <c r="E10" s="18" vm="26">
        <f ca="1"/>
        <v>46036</v>
      </c>
      <c r="F10" s="17" vm="28">
        <f ca="1"/>
        <v>439.2</v>
      </c>
    </row>
    <row r="11" spans="1:26" ht="14.25" customHeight="1">
      <c r="A11" s="5"/>
      <c r="B11" vm="29">
        <f ca="1"/>
        <v>46037</v>
      </c>
      <c r="C11" s="17" vm="30">
        <f ca="1"/>
        <v>88.05</v>
      </c>
      <c r="E11" s="18" vm="29">
        <f ca="1"/>
        <v>46037</v>
      </c>
      <c r="F11" s="17" vm="31">
        <f ca="1"/>
        <v>438.57</v>
      </c>
    </row>
    <row r="12" spans="1:26" ht="14.25" customHeight="1">
      <c r="A12" s="5"/>
      <c r="B12" vm="32">
        <f ca="1"/>
        <v>46038</v>
      </c>
      <c r="C12" s="17" vm="33">
        <f ca="1"/>
        <v>88</v>
      </c>
      <c r="E12" s="18" vm="32">
        <f ca="1"/>
        <v>46038</v>
      </c>
      <c r="F12" s="17" vm="34">
        <f ca="1"/>
        <v>437.5</v>
      </c>
    </row>
    <row r="13" spans="1:26" ht="14.25" customHeight="1">
      <c r="A13" s="5"/>
      <c r="B13" vm="35">
        <f ca="1"/>
        <v>46042</v>
      </c>
      <c r="C13" s="17" vm="36">
        <f ca="1"/>
        <v>87.26</v>
      </c>
      <c r="E13" s="18" vm="35">
        <f ca="1"/>
        <v>46042</v>
      </c>
      <c r="F13" s="17" vm="37">
        <f ca="1"/>
        <v>419.25</v>
      </c>
    </row>
    <row r="14" spans="1:26" ht="14.25" customHeight="1">
      <c r="A14" s="5"/>
      <c r="B14" vm="38">
        <f ca="1"/>
        <v>46043</v>
      </c>
      <c r="C14" s="17" vm="39">
        <f ca="1"/>
        <v>85.36</v>
      </c>
      <c r="E14" s="18" vm="38">
        <f ca="1"/>
        <v>46043</v>
      </c>
      <c r="F14" s="17" vm="40">
        <f ca="1"/>
        <v>431.44</v>
      </c>
    </row>
    <row r="15" spans="1:26" ht="14.25" customHeight="1">
      <c r="A15" s="5"/>
      <c r="B15" vm="41">
        <f ca="1"/>
        <v>46044</v>
      </c>
      <c r="C15" s="17" vm="42">
        <f ca="1"/>
        <v>83.54</v>
      </c>
      <c r="E15" s="18" vm="41">
        <f ca="1"/>
        <v>46044</v>
      </c>
      <c r="F15" s="17" vm="43">
        <f ca="1"/>
        <v>449.36</v>
      </c>
    </row>
    <row r="16" spans="1:26" ht="14.25" customHeight="1">
      <c r="A16" s="5"/>
      <c r="B16" vm="44">
        <f ca="1"/>
        <v>46045</v>
      </c>
      <c r="C16" s="17" vm="45">
        <f ca="1"/>
        <v>86.12</v>
      </c>
      <c r="E16" s="18" vm="44">
        <f ca="1"/>
        <v>46045</v>
      </c>
      <c r="F16" s="17" vm="46">
        <f ca="1"/>
        <v>449.06</v>
      </c>
    </row>
    <row r="17" spans="1:6" ht="14.25" customHeight="1">
      <c r="A17" s="5"/>
      <c r="B17" vm="47">
        <f ca="1"/>
        <v>46048</v>
      </c>
      <c r="C17" s="17" vm="48">
        <f ca="1"/>
        <v>85.7</v>
      </c>
      <c r="E17" s="18" vm="47">
        <f ca="1"/>
        <v>46048</v>
      </c>
      <c r="F17" s="17" vm="49">
        <f ca="1"/>
        <v>435.2</v>
      </c>
    </row>
    <row r="18" spans="1:6" ht="14.25" customHeight="1">
      <c r="A18" s="5"/>
      <c r="B18" vm="50">
        <f ca="1"/>
        <v>46049</v>
      </c>
      <c r="C18" s="17" vm="51">
        <f ca="1"/>
        <v>85.58</v>
      </c>
      <c r="E18" s="18" vm="50">
        <f ca="1"/>
        <v>46049</v>
      </c>
      <c r="F18" s="17" vm="52">
        <f ca="1"/>
        <v>430.9</v>
      </c>
    </row>
    <row r="19" spans="1:6" ht="14.25" customHeight="1">
      <c r="A19" s="5"/>
      <c r="B19" vm="53">
        <f ca="1"/>
        <v>46050</v>
      </c>
      <c r="C19" s="17" vm="54">
        <f ca="1"/>
        <v>84.64</v>
      </c>
      <c r="E19" s="18" vm="53">
        <f ca="1"/>
        <v>46050</v>
      </c>
      <c r="F19" s="17" vm="55">
        <f ca="1"/>
        <v>431.46</v>
      </c>
    </row>
    <row r="20" spans="1:6" ht="14.25" customHeight="1">
      <c r="A20" s="5"/>
      <c r="B20" vm="56">
        <f ca="1"/>
        <v>46051</v>
      </c>
      <c r="C20" s="17" vm="57">
        <f ca="1"/>
        <v>83.16</v>
      </c>
      <c r="E20" s="18" vm="56">
        <f ca="1"/>
        <v>46051</v>
      </c>
      <c r="F20" s="17" vm="58">
        <f ca="1"/>
        <v>416.56</v>
      </c>
    </row>
    <row r="21" spans="1:6" ht="14.25" customHeight="1">
      <c r="A21" s="5"/>
      <c r="B21" vm="59">
        <f ca="1"/>
        <v>46052</v>
      </c>
      <c r="C21" s="17" vm="60">
        <f ca="1"/>
        <v>83.49</v>
      </c>
      <c r="E21" s="18" vm="59">
        <f ca="1"/>
        <v>46052</v>
      </c>
      <c r="F21" s="17" vm="61">
        <f ca="1"/>
        <v>430.41</v>
      </c>
    </row>
    <row r="22" spans="1:6" ht="14.25" customHeight="1">
      <c r="A22" s="5"/>
      <c r="B22" vm="62">
        <f ca="1"/>
        <v>46055</v>
      </c>
      <c r="C22" s="17" vm="63">
        <f ca="1"/>
        <v>82.76</v>
      </c>
      <c r="E22" s="18" vm="62">
        <f ca="1"/>
        <v>46055</v>
      </c>
      <c r="F22" s="17" vm="64">
        <f ca="1"/>
        <v>421.81</v>
      </c>
    </row>
    <row r="23" spans="1:6" ht="14.25" customHeight="1">
      <c r="A23" s="5"/>
      <c r="B23" vm="65">
        <f ca="1"/>
        <v>46056</v>
      </c>
      <c r="C23" s="17" vm="66">
        <f ca="1"/>
        <v>79.94</v>
      </c>
      <c r="E23" s="18" vm="65">
        <f ca="1"/>
        <v>46056</v>
      </c>
      <c r="F23" s="17" vm="67">
        <f ca="1"/>
        <v>421.96</v>
      </c>
    </row>
    <row r="24" spans="1:6" ht="14.25" customHeight="1">
      <c r="A24" s="5"/>
      <c r="B24" vm="68">
        <f ca="1"/>
        <v>46057</v>
      </c>
      <c r="C24" s="17" vm="69">
        <f ca="1"/>
        <v>80.16</v>
      </c>
      <c r="E24" s="18" vm="68">
        <f ca="1"/>
        <v>46057</v>
      </c>
      <c r="F24" s="17" vm="70">
        <f ca="1"/>
        <v>406.01</v>
      </c>
    </row>
    <row r="25" spans="1:6" ht="14.25" customHeight="1">
      <c r="A25" s="5"/>
      <c r="B25" vm="71">
        <f ca="1"/>
        <v>46058</v>
      </c>
      <c r="C25" s="17" vm="72">
        <f ca="1"/>
        <v>80.87</v>
      </c>
      <c r="E25" s="18" vm="71">
        <f ca="1"/>
        <v>46058</v>
      </c>
      <c r="F25" s="17" vm="73">
        <f ca="1"/>
        <v>397.21</v>
      </c>
    </row>
    <row r="26" spans="1:6" ht="14.25" customHeight="1">
      <c r="A26" s="5"/>
      <c r="B26" vm="74">
        <f ca="1"/>
        <v>46059</v>
      </c>
      <c r="C26" s="17" vm="75">
        <f ca="1"/>
        <v>82.2</v>
      </c>
      <c r="E26" s="18" vm="74">
        <f ca="1"/>
        <v>46059</v>
      </c>
      <c r="F26" s="17" vm="76">
        <f ca="1"/>
        <v>411.11</v>
      </c>
    </row>
    <row r="27" spans="1:6" ht="14.25" customHeight="1">
      <c r="A27" s="5"/>
      <c r="B27" vm="77">
        <f ca="1"/>
        <v>46062</v>
      </c>
      <c r="C27" s="17" vm="78">
        <f ca="1"/>
        <v>81.47</v>
      </c>
      <c r="E27" s="18" vm="77">
        <f ca="1"/>
        <v>46062</v>
      </c>
      <c r="F27" s="17" vm="79">
        <f ca="1"/>
        <v>417.32</v>
      </c>
    </row>
    <row r="28" spans="1:6" ht="14.25" customHeight="1">
      <c r="A28" s="5"/>
      <c r="B28" vm="80">
        <f ca="1"/>
        <v>46063</v>
      </c>
      <c r="C28" s="17" vm="81">
        <f ca="1"/>
        <v>82.21</v>
      </c>
      <c r="E28" s="18" vm="80">
        <f ca="1"/>
        <v>46063</v>
      </c>
      <c r="F28" s="17" vm="82">
        <f ca="1"/>
        <v>425.21</v>
      </c>
    </row>
    <row r="29" spans="1:6" ht="14.25" customHeight="1">
      <c r="A29" s="5"/>
      <c r="B29" vm="83">
        <f ca="1"/>
        <v>46064</v>
      </c>
      <c r="C29" s="17" vm="84">
        <f ca="1"/>
        <v>79.62</v>
      </c>
      <c r="E29" s="18" vm="83">
        <f ca="1"/>
        <v>46064</v>
      </c>
      <c r="F29" s="17" vm="85">
        <f ca="1"/>
        <v>428.27</v>
      </c>
    </row>
    <row r="30" spans="1:6" ht="14.25" customHeight="1">
      <c r="A30" s="5"/>
      <c r="B30" vm="86">
        <f ca="1"/>
        <v>46065</v>
      </c>
      <c r="C30" s="17" vm="87">
        <f ca="1"/>
        <v>75.86</v>
      </c>
      <c r="E30" s="18" vm="86">
        <f ca="1"/>
        <v>46065</v>
      </c>
      <c r="F30" s="17" vm="88">
        <f ca="1"/>
        <v>417.07</v>
      </c>
    </row>
    <row r="31" spans="1:6" ht="14.25" customHeight="1">
      <c r="A31" s="5"/>
      <c r="B31" vm="89">
        <f ca="1"/>
        <v>46066</v>
      </c>
      <c r="C31" s="17" vm="90">
        <f ca="1"/>
        <v>76.87</v>
      </c>
      <c r="E31" s="18" vm="89">
        <f ca="1"/>
        <v>46066</v>
      </c>
      <c r="F31" s="17" vm="91">
        <f ca="1"/>
        <v>417.44</v>
      </c>
    </row>
    <row r="32" spans="1:6" ht="14.25" customHeight="1">
      <c r="A32" s="5"/>
      <c r="B32" vm="92">
        <f ca="1"/>
        <v>46070</v>
      </c>
      <c r="C32" s="17" vm="93">
        <f ca="1"/>
        <v>77</v>
      </c>
      <c r="E32" s="18" vm="92">
        <f ca="1"/>
        <v>46070</v>
      </c>
      <c r="F32" s="17" vm="94">
        <f ca="1"/>
        <v>410.63</v>
      </c>
    </row>
    <row r="33" spans="1:6" ht="14.25" customHeight="1">
      <c r="A33" s="5"/>
      <c r="B33" vm="95">
        <f ca="1"/>
        <v>46071</v>
      </c>
      <c r="C33" s="17" vm="96">
        <f ca="1"/>
        <v>77.989999999999995</v>
      </c>
      <c r="E33" s="18" vm="95">
        <f ca="1"/>
        <v>46071</v>
      </c>
      <c r="F33" s="17" vm="97">
        <f ca="1"/>
        <v>411.32</v>
      </c>
    </row>
    <row r="34" spans="1:6" ht="14.25" customHeight="1">
      <c r="A34" s="5"/>
      <c r="B34" vm="98">
        <f ca="1"/>
        <v>46072</v>
      </c>
      <c r="C34" s="17" vm="93">
        <f ca="1"/>
        <v>77</v>
      </c>
      <c r="E34" s="18" vm="98">
        <f ca="1"/>
        <v>46072</v>
      </c>
      <c r="F34" s="17" vm="99">
        <f ca="1"/>
        <v>411.71</v>
      </c>
    </row>
    <row r="35" spans="1:6" ht="14.25" customHeight="1">
      <c r="A35" s="5"/>
      <c r="B35" vm="100">
        <f ca="1"/>
        <v>46073</v>
      </c>
      <c r="C35" s="17" vm="101">
        <f ca="1"/>
        <v>78.67</v>
      </c>
      <c r="E35" s="18" vm="100">
        <f ca="1"/>
        <v>46073</v>
      </c>
      <c r="F35" s="17" vm="102">
        <f ca="1"/>
        <v>411.82</v>
      </c>
    </row>
    <row r="36" spans="1:6" ht="14.25" customHeight="1">
      <c r="A36" s="5"/>
      <c r="B36" vm="103">
        <f ca="1"/>
        <v>46076</v>
      </c>
      <c r="C36" s="17" vm="104">
        <f ca="1"/>
        <v>76.02</v>
      </c>
      <c r="E36" s="18" vm="103">
        <f ca="1"/>
        <v>46076</v>
      </c>
      <c r="F36" s="17" vm="105">
        <f ca="1"/>
        <v>399.83</v>
      </c>
    </row>
    <row r="37" spans="1:6" ht="14.25" customHeight="1">
      <c r="A37" s="5"/>
      <c r="B37" vm="106">
        <f ca="1"/>
        <v>46077</v>
      </c>
      <c r="C37" s="17" vm="107">
        <f ca="1"/>
        <v>78.040000000000006</v>
      </c>
      <c r="E37" s="18" vm="106">
        <f ca="1"/>
        <v>46077</v>
      </c>
      <c r="F37" s="17" vm="108">
        <f ca="1"/>
        <v>409.38</v>
      </c>
    </row>
    <row r="38" spans="1:6" ht="14.25" customHeight="1">
      <c r="A38" s="5"/>
      <c r="B38" vm="109">
        <f ca="1"/>
        <v>46078</v>
      </c>
      <c r="C38" s="17" vm="110">
        <f ca="1"/>
        <v>82.7</v>
      </c>
      <c r="E38" s="18" vm="109">
        <f ca="1"/>
        <v>46078</v>
      </c>
      <c r="F38" s="17" vm="111">
        <f ca="1"/>
        <v>417.4</v>
      </c>
    </row>
    <row r="39" spans="1:6" ht="14.25" customHeight="1">
      <c r="A39" s="5"/>
      <c r="B39" vm="112">
        <f ca="1"/>
        <v>46079</v>
      </c>
      <c r="C39" s="17" vm="113">
        <f ca="1"/>
        <v>84.59</v>
      </c>
      <c r="E39" s="18" vm="112">
        <f ca="1"/>
        <v>46079</v>
      </c>
      <c r="F39" s="17" vm="114">
        <f ca="1"/>
        <v>408.58</v>
      </c>
    </row>
    <row r="40" spans="1:6" ht="14.25" customHeight="1">
      <c r="A40" s="5"/>
      <c r="B40" vm="115">
        <f ca="1"/>
        <v>46080</v>
      </c>
      <c r="C40" s="17" vm="116">
        <f ca="1"/>
        <v>96.24</v>
      </c>
      <c r="E40" s="18" vm="115">
        <f ca="1"/>
        <v>46080</v>
      </c>
      <c r="F40" s="17" vm="117">
        <f ca="1"/>
        <v>402.51</v>
      </c>
    </row>
    <row r="41" spans="1:6" ht="14.25" customHeight="1">
      <c r="A41" s="5"/>
      <c r="B41" vm="118">
        <f ca="1"/>
        <v>46083</v>
      </c>
      <c r="C41" s="17" vm="119">
        <f ca="1"/>
        <v>97.09</v>
      </c>
      <c r="E41" s="18" vm="118">
        <f ca="1"/>
        <v>46083</v>
      </c>
      <c r="F41" s="17" vm="120">
        <f ca="1"/>
        <v>403.32</v>
      </c>
    </row>
    <row r="42" spans="1:6" ht="14.25" customHeight="1">
      <c r="A42" s="5"/>
      <c r="B42" vm="121">
        <f ca="1"/>
        <v>46084</v>
      </c>
      <c r="C42" s="17" vm="122">
        <f ca="1"/>
        <v>97.7</v>
      </c>
      <c r="E42" s="18" vm="121">
        <f ca="1"/>
        <v>46084</v>
      </c>
      <c r="F42" s="17" vm="123">
        <f ca="1"/>
        <v>392.43</v>
      </c>
    </row>
    <row r="43" spans="1:6" ht="14.25" customHeight="1">
      <c r="A43" s="5"/>
      <c r="B43" vm="124">
        <f ca="1"/>
        <v>46085</v>
      </c>
      <c r="C43" s="17" vm="125">
        <f ca="1"/>
        <v>98.66</v>
      </c>
      <c r="E43" s="18" vm="124">
        <f ca="1"/>
        <v>46085</v>
      </c>
      <c r="F43" s="17" vm="126">
        <f ca="1"/>
        <v>405.94</v>
      </c>
    </row>
    <row r="44" spans="1:6" ht="14.25" customHeight="1">
      <c r="A44" s="5"/>
      <c r="B44" vm="127">
        <f ca="1"/>
        <v>46086</v>
      </c>
      <c r="C44" s="17" vm="128">
        <f ca="1"/>
        <v>99.17</v>
      </c>
      <c r="E44" s="18" vm="127">
        <f ca="1"/>
        <v>46086</v>
      </c>
      <c r="F44" s="17" vm="129">
        <f ca="1"/>
        <v>405.55</v>
      </c>
    </row>
    <row r="45" spans="1:6" ht="14.25" customHeight="1">
      <c r="A45" s="5"/>
      <c r="B45" vm="130">
        <f ca="1"/>
        <v>46087</v>
      </c>
      <c r="C45" s="17" vm="131">
        <f ca="1"/>
        <v>99.02</v>
      </c>
      <c r="E45" s="18" vm="130">
        <f ca="1"/>
        <v>46087</v>
      </c>
      <c r="F45" s="17" vm="132">
        <f ca="1"/>
        <v>396.73</v>
      </c>
    </row>
    <row r="46" spans="1:6" ht="14.25" customHeight="1">
      <c r="A46" s="5"/>
      <c r="B46" vm="133">
        <f ca="1"/>
        <v>46090</v>
      </c>
      <c r="C46" s="17" vm="134">
        <f ca="1"/>
        <v>98.32</v>
      </c>
      <c r="E46" s="18" vm="133">
        <f ca="1"/>
        <v>46090</v>
      </c>
      <c r="F46" s="17" vm="135">
        <f ca="1"/>
        <v>398.68</v>
      </c>
    </row>
    <row r="47" spans="1:6" ht="14.25" customHeight="1">
      <c r="A47" s="5"/>
      <c r="B47" vm="136">
        <f ca="1"/>
        <v>46091</v>
      </c>
      <c r="C47" s="17" vm="137">
        <f ca="1"/>
        <v>96.94</v>
      </c>
      <c r="E47" s="18" vm="136">
        <f ca="1"/>
        <v>46091</v>
      </c>
      <c r="F47" s="17" vm="138">
        <f ca="1"/>
        <v>399.23500000000001</v>
      </c>
    </row>
    <row r="48" spans="1:6" ht="14.25" customHeight="1">
      <c r="A48" s="5"/>
      <c r="B48" vm="139">
        <f ca="1"/>
        <v>46092</v>
      </c>
      <c r="C48" s="17" vm="140">
        <f ca="1"/>
        <v>94.89</v>
      </c>
      <c r="E48" s="18" vm="139">
        <f ca="1"/>
        <v>46092</v>
      </c>
      <c r="F48" s="17" vm="141">
        <f ca="1"/>
        <v>407.82</v>
      </c>
    </row>
    <row r="49" spans="1:6" ht="14.25" customHeight="1">
      <c r="A49" s="5"/>
      <c r="B49" vm="142">
        <f ca="1"/>
        <v>46093</v>
      </c>
      <c r="C49" s="17" vm="143">
        <f ca="1"/>
        <v>94.31</v>
      </c>
      <c r="E49" s="18" vm="142">
        <f ca="1"/>
        <v>46093</v>
      </c>
      <c r="F49" s="17" vm="144">
        <f ca="1"/>
        <v>395.01</v>
      </c>
    </row>
    <row r="50" spans="1:6" ht="14.25" customHeight="1">
      <c r="A50" s="5"/>
      <c r="B50" vm="145">
        <f ca="1"/>
        <v>46094</v>
      </c>
      <c r="C50" s="17" vm="146">
        <f ca="1"/>
        <v>95.31</v>
      </c>
      <c r="E50" s="18" vm="145">
        <f ca="1"/>
        <v>46094</v>
      </c>
      <c r="F50" s="17" vm="147">
        <f ca="1"/>
        <v>391.2</v>
      </c>
    </row>
    <row r="51" spans="1:6" ht="14.25" customHeight="1">
      <c r="A51" s="5"/>
      <c r="B51" vm="148">
        <f ca="1"/>
        <v>46097</v>
      </c>
      <c r="C51" s="17" vm="149">
        <f ca="1"/>
        <v>95.2</v>
      </c>
      <c r="E51" s="18" vm="148">
        <f ca="1"/>
        <v>46097</v>
      </c>
      <c r="F51" s="17" vm="150">
        <f ca="1"/>
        <v>395.56</v>
      </c>
    </row>
    <row r="52" spans="1:6" ht="14.25" customHeight="1">
      <c r="A52" s="5"/>
      <c r="B52" vm="151">
        <f ca="1"/>
        <v>46098</v>
      </c>
      <c r="C52" s="17" vm="152">
        <f ca="1"/>
        <v>94.36</v>
      </c>
      <c r="E52" s="18" vm="151">
        <f ca="1"/>
        <v>46098</v>
      </c>
      <c r="F52" s="17" vm="153">
        <f ca="1"/>
        <v>399.27</v>
      </c>
    </row>
    <row r="53" spans="1:6" ht="14.25" customHeight="1">
      <c r="A53" s="5"/>
      <c r="B53" vm="154">
        <f ca="1"/>
        <v>46099</v>
      </c>
      <c r="C53" s="17" vm="155">
        <f ca="1"/>
        <v>94.7</v>
      </c>
      <c r="E53" s="18" vm="154">
        <f ca="1"/>
        <v>46099</v>
      </c>
      <c r="F53" s="17" vm="156">
        <f ca="1"/>
        <v>392.78</v>
      </c>
    </row>
    <row r="54" spans="1:6" ht="14.25" customHeight="1">
      <c r="A54" s="5"/>
      <c r="B54" vm="157">
        <f ca="1"/>
        <v>46100</v>
      </c>
      <c r="C54" s="17" vm="158">
        <f ca="1"/>
        <v>91.74</v>
      </c>
      <c r="E54" s="18" vm="157">
        <f ca="1"/>
        <v>46100</v>
      </c>
      <c r="F54" s="17" vm="159">
        <f ca="1"/>
        <v>380.3</v>
      </c>
    </row>
    <row r="55" spans="1:6" ht="14.25" customHeight="1">
      <c r="A55" s="5"/>
      <c r="B55" vm="160">
        <f ca="1"/>
        <v>46101</v>
      </c>
      <c r="C55" s="17" vm="161">
        <f ca="1"/>
        <v>91.82</v>
      </c>
      <c r="E55" s="18" vm="160">
        <f ca="1"/>
        <v>46101</v>
      </c>
      <c r="F55" s="17" vm="162">
        <f ca="1"/>
        <v>367.96</v>
      </c>
    </row>
    <row r="56" spans="1:6" ht="14.25" customHeight="1">
      <c r="A56" s="5"/>
      <c r="B56" vm="163">
        <f ca="1"/>
        <v>46104</v>
      </c>
      <c r="C56" s="17" vm="164">
        <f ca="1"/>
        <v>93.38</v>
      </c>
      <c r="E56" s="18" vm="163">
        <f ca="1"/>
        <v>46104</v>
      </c>
      <c r="F56" s="17" vm="165">
        <f ca="1"/>
        <v>380.85</v>
      </c>
    </row>
    <row r="57" spans="1:6" ht="14.25" customHeight="1">
      <c r="A57" s="5"/>
      <c r="B57" vm="166">
        <f ca="1"/>
        <v>46105</v>
      </c>
      <c r="C57" s="17" vm="167">
        <f ca="1"/>
        <v>90.92</v>
      </c>
      <c r="E57" s="18" vm="166">
        <f ca="1"/>
        <v>46105</v>
      </c>
      <c r="F57" s="17" vm="168">
        <f ca="1"/>
        <v>383.03</v>
      </c>
    </row>
    <row r="58" spans="1:6" ht="14.25" customHeight="1">
      <c r="A58" s="5"/>
      <c r="B58" vm="169">
        <f ca="1"/>
        <v>46106</v>
      </c>
      <c r="C58" s="17" vm="170">
        <f ca="1"/>
        <v>92.28</v>
      </c>
      <c r="E58" s="18" vm="169">
        <f ca="1"/>
        <v>46106</v>
      </c>
      <c r="F58" s="17" vm="171">
        <f ca="1"/>
        <v>385.95</v>
      </c>
    </row>
    <row r="59" spans="1:6" ht="14.25" customHeight="1">
      <c r="A59" s="5"/>
      <c r="B59" vm="172">
        <f ca="1"/>
        <v>46107</v>
      </c>
      <c r="C59" s="17" vm="173">
        <f ca="1"/>
        <v>93.32</v>
      </c>
      <c r="E59" s="18" vm="172">
        <f ca="1"/>
        <v>46107</v>
      </c>
      <c r="F59" s="17" vm="174">
        <f ca="1"/>
        <v>372.11</v>
      </c>
    </row>
    <row r="60" spans="1:6" ht="14.25" customHeight="1">
      <c r="A60" s="5"/>
      <c r="B60" vm="175">
        <f ca="1"/>
        <v>46108</v>
      </c>
      <c r="C60" s="17" vm="176">
        <f ca="1"/>
        <v>93.43</v>
      </c>
      <c r="E60" s="18" vm="175">
        <f ca="1"/>
        <v>46108</v>
      </c>
      <c r="F60" s="17" vm="177">
        <f ca="1"/>
        <v>361.83</v>
      </c>
    </row>
    <row r="61" spans="1:6" ht="14.25" customHeight="1">
      <c r="A61" s="5"/>
      <c r="B61" vm="178">
        <f ca="1"/>
        <v>46111</v>
      </c>
      <c r="C61" s="17" vm="179">
        <f ca="1"/>
        <v>92.97</v>
      </c>
      <c r="E61" s="18" vm="178">
        <f ca="1"/>
        <v>46111</v>
      </c>
      <c r="F61" s="17" vm="180">
        <f ca="1"/>
        <v>355.28</v>
      </c>
    </row>
    <row r="62" spans="1:6" ht="14.25" customHeight="1">
      <c r="A62" s="5"/>
      <c r="B62" vm="181">
        <f ca="1"/>
        <v>46112</v>
      </c>
      <c r="C62" s="17" vm="182">
        <f ca="1"/>
        <v>96.15</v>
      </c>
      <c r="E62" s="18" vm="181">
        <f ca="1"/>
        <v>46112</v>
      </c>
      <c r="F62" s="17" vm="183">
        <f ca="1"/>
        <v>371.75</v>
      </c>
    </row>
    <row r="63" spans="1:6" ht="14.25" customHeight="1">
      <c r="A63" s="5"/>
      <c r="B63" vm="184">
        <f ca="1"/>
        <v>46113</v>
      </c>
      <c r="C63" s="17" vm="185">
        <f ca="1"/>
        <v>95.55</v>
      </c>
      <c r="E63" s="18" vm="184">
        <f ca="1"/>
        <v>46113</v>
      </c>
      <c r="F63" s="17" vm="186">
        <f ca="1"/>
        <v>381.26</v>
      </c>
    </row>
    <row r="64" spans="1:6" ht="14.25" customHeight="1">
      <c r="A64" s="5"/>
      <c r="B64" vm="187">
        <f ca="1"/>
        <v>46114</v>
      </c>
      <c r="C64" s="17" vm="125">
        <f ca="1"/>
        <v>98.66</v>
      </c>
      <c r="E64" s="18" vm="187">
        <f ca="1"/>
        <v>46114</v>
      </c>
      <c r="F64" s="17" vm="188">
        <f ca="1"/>
        <v>360.59</v>
      </c>
    </row>
    <row r="65" spans="1:6" ht="14.25" customHeight="1">
      <c r="A65" s="5"/>
      <c r="B65" vm="189">
        <f ca="1"/>
        <v>46118</v>
      </c>
      <c r="C65" s="17" vm="190">
        <f ca="1"/>
        <v>98.93</v>
      </c>
      <c r="E65" s="18" vm="189">
        <f ca="1"/>
        <v>46118</v>
      </c>
      <c r="F65" s="17" vm="191">
        <f ca="1"/>
        <v>352.82</v>
      </c>
    </row>
    <row r="66" spans="1:6" ht="14.25" customHeight="1">
      <c r="A66" s="5"/>
      <c r="B66" vm="192">
        <f ca="1"/>
        <v>46119</v>
      </c>
      <c r="C66" s="17" vm="193">
        <f ca="1"/>
        <v>98.82</v>
      </c>
      <c r="E66" s="18" vm="192">
        <f ca="1"/>
        <v>46119</v>
      </c>
      <c r="F66" s="17" vm="194">
        <f ca="1"/>
        <v>346.65</v>
      </c>
    </row>
    <row r="67" spans="1:6" ht="14.25" customHeight="1">
      <c r="A67" s="5"/>
      <c r="B67" vm="195">
        <f ca="1"/>
        <v>46120</v>
      </c>
      <c r="C67" s="17" vm="196">
        <f ca="1"/>
        <v>99.39</v>
      </c>
      <c r="E67" s="18" vm="195">
        <f ca="1"/>
        <v>46120</v>
      </c>
      <c r="F67" s="17" vm="197">
        <f ca="1"/>
        <v>343.25</v>
      </c>
    </row>
    <row r="68" spans="1:6" ht="14.25" customHeight="1">
      <c r="A68" s="5"/>
      <c r="B68" vm="198">
        <f ca="1"/>
        <v>46121</v>
      </c>
      <c r="C68" s="17" vm="199">
        <f ca="1"/>
        <v>102.05</v>
      </c>
      <c r="E68" s="18" vm="198">
        <f ca="1"/>
        <v>46121</v>
      </c>
      <c r="F68" s="17" vm="200">
        <f ca="1"/>
        <v>345.62</v>
      </c>
    </row>
    <row r="69" spans="1:6" ht="14.25" customHeight="1">
      <c r="A69" s="5"/>
      <c r="C69" s="17"/>
      <c r="E69" s="18"/>
      <c r="F69" s="17"/>
    </row>
    <row r="70" spans="1:6" ht="14.25" customHeight="1">
      <c r="A70" s="5"/>
      <c r="C70" s="17"/>
      <c r="E70" s="18"/>
      <c r="F70" s="17"/>
    </row>
    <row r="71" spans="1:6" ht="14.25" customHeight="1">
      <c r="A71" s="5"/>
      <c r="C71" s="17"/>
      <c r="E71" s="18"/>
      <c r="F71" s="17"/>
    </row>
    <row r="72" spans="1:6" ht="14.25" customHeight="1">
      <c r="A72" s="5"/>
      <c r="C72" s="17"/>
      <c r="E72" s="18"/>
      <c r="F72" s="17"/>
    </row>
    <row r="73" spans="1:6" ht="14.25" customHeight="1">
      <c r="A73" s="5"/>
      <c r="C73" s="17"/>
      <c r="E73" s="18"/>
      <c r="F73" s="17"/>
    </row>
    <row r="74" spans="1:6" ht="14.25" customHeight="1">
      <c r="A74" s="5"/>
      <c r="C74" s="17"/>
      <c r="E74" s="18"/>
      <c r="F74" s="17"/>
    </row>
    <row r="75" spans="1:6" ht="14.25" customHeight="1">
      <c r="A75" s="5"/>
      <c r="C75" s="17"/>
      <c r="E75" s="18"/>
      <c r="F75" s="17"/>
    </row>
    <row r="76" spans="1:6" ht="14.25" customHeight="1">
      <c r="A76" s="5"/>
      <c r="C76" s="17"/>
      <c r="E76" s="18"/>
      <c r="F76" s="17"/>
    </row>
    <row r="77" spans="1:6" ht="14.25" customHeight="1">
      <c r="A77" s="5"/>
      <c r="C77" s="17"/>
      <c r="E77" s="18"/>
      <c r="F77" s="17"/>
    </row>
    <row r="78" spans="1:6" ht="14.25" customHeight="1">
      <c r="A78" s="5"/>
      <c r="C78" s="17"/>
      <c r="E78" s="18"/>
      <c r="F78" s="17"/>
    </row>
    <row r="79" spans="1:6" ht="14.25" customHeight="1">
      <c r="A79" s="5"/>
      <c r="C79" s="17"/>
      <c r="E79" s="18"/>
      <c r="F79" s="17"/>
    </row>
    <row r="80" spans="1:6" ht="14.25" customHeight="1">
      <c r="A80" s="5"/>
      <c r="C80" s="17"/>
      <c r="E80" s="18"/>
      <c r="F80" s="17"/>
    </row>
    <row r="81" spans="1:6" ht="14.25" customHeight="1">
      <c r="A81" s="5"/>
      <c r="C81" s="17"/>
      <c r="E81" s="18"/>
      <c r="F81" s="17"/>
    </row>
    <row r="82" spans="1:6" ht="14.25" customHeight="1">
      <c r="A82" s="5"/>
      <c r="C82" s="17"/>
      <c r="E82" s="18"/>
      <c r="F82" s="17"/>
    </row>
    <row r="83" spans="1:6" ht="14.25" customHeight="1">
      <c r="A83" s="5"/>
      <c r="C83" s="17"/>
      <c r="E83" s="18"/>
      <c r="F83" s="17"/>
    </row>
    <row r="84" spans="1:6" ht="14.25" customHeight="1">
      <c r="A84" s="5"/>
      <c r="C84" s="17"/>
      <c r="E84" s="18"/>
      <c r="F84" s="17"/>
    </row>
    <row r="85" spans="1:6" ht="14.25" customHeight="1">
      <c r="A85" s="5"/>
      <c r="C85" s="17"/>
      <c r="E85" s="18"/>
      <c r="F85" s="17"/>
    </row>
    <row r="86" spans="1:6" ht="14.25" customHeight="1">
      <c r="A86" s="5"/>
      <c r="C86" s="17"/>
      <c r="E86" s="18"/>
      <c r="F86" s="17"/>
    </row>
    <row r="87" spans="1:6" ht="14.25" customHeight="1">
      <c r="A87" s="5"/>
      <c r="C87" s="17"/>
      <c r="E87" s="18"/>
      <c r="F87" s="17"/>
    </row>
    <row r="88" spans="1:6" ht="14.25" customHeight="1">
      <c r="A88" s="5"/>
      <c r="C88" s="17"/>
      <c r="E88" s="18"/>
      <c r="F88" s="17"/>
    </row>
    <row r="89" spans="1:6" ht="14.25" customHeight="1">
      <c r="A89" s="5"/>
      <c r="C89" s="17"/>
      <c r="E89" s="18"/>
      <c r="F89" s="17"/>
    </row>
    <row r="90" spans="1:6" ht="14.25" customHeight="1">
      <c r="A90" s="5"/>
      <c r="C90" s="17"/>
      <c r="E90" s="18"/>
      <c r="F90" s="17"/>
    </row>
    <row r="91" spans="1:6" ht="14.25" customHeight="1">
      <c r="A91" s="5"/>
      <c r="C91" s="17"/>
      <c r="E91" s="18"/>
      <c r="F91" s="17"/>
    </row>
    <row r="92" spans="1:6" ht="14.25" customHeight="1">
      <c r="A92" s="5"/>
      <c r="C92" s="17"/>
      <c r="E92" s="18"/>
      <c r="F92" s="17"/>
    </row>
    <row r="93" spans="1:6" ht="14.25" customHeight="1">
      <c r="A93" s="5"/>
      <c r="C93" s="17"/>
      <c r="E93" s="18"/>
      <c r="F93" s="17"/>
    </row>
    <row r="94" spans="1:6" ht="14.25" customHeight="1">
      <c r="A94" s="5"/>
      <c r="C94" s="17"/>
      <c r="E94" s="18"/>
      <c r="F94" s="17"/>
    </row>
    <row r="95" spans="1:6" ht="14.25" customHeight="1">
      <c r="A95" s="5"/>
      <c r="C95" s="17"/>
      <c r="E95" s="18"/>
      <c r="F95" s="17"/>
    </row>
    <row r="96" spans="1:6" ht="14.25" customHeight="1">
      <c r="A96" s="5"/>
      <c r="C96" s="17"/>
      <c r="E96" s="18"/>
      <c r="F96" s="17"/>
    </row>
    <row r="97" spans="1:6" ht="14.25" customHeight="1">
      <c r="A97" s="5"/>
      <c r="C97" s="17"/>
      <c r="E97" s="18"/>
      <c r="F97" s="17"/>
    </row>
    <row r="98" spans="1:6" ht="14.25" customHeight="1">
      <c r="A98" s="5"/>
      <c r="C98" s="17"/>
      <c r="E98" s="18"/>
      <c r="F98" s="17"/>
    </row>
    <row r="99" spans="1:6" ht="14.25" customHeight="1">
      <c r="A99" s="5"/>
      <c r="C99" s="17"/>
      <c r="E99" s="18"/>
      <c r="F99" s="17"/>
    </row>
    <row r="100" spans="1:6" ht="14.25" customHeight="1">
      <c r="A100" s="5"/>
      <c r="C100" s="17"/>
      <c r="E100" s="18"/>
      <c r="F100" s="17"/>
    </row>
    <row r="101" spans="1:6" ht="14.25" customHeight="1">
      <c r="A101" s="5"/>
      <c r="C101" s="17"/>
      <c r="E101" s="18"/>
      <c r="F101" s="17"/>
    </row>
    <row r="102" spans="1:6" ht="14.25" customHeight="1">
      <c r="A102" s="5"/>
      <c r="C102" s="17"/>
      <c r="E102" s="18"/>
      <c r="F102" s="17"/>
    </row>
    <row r="103" spans="1:6" ht="14.25" customHeight="1">
      <c r="A103" s="5"/>
      <c r="C103" s="17"/>
      <c r="E103" s="18"/>
      <c r="F103" s="17"/>
    </row>
    <row r="104" spans="1:6" ht="14.25" customHeight="1">
      <c r="A104" s="5"/>
      <c r="C104" s="17"/>
      <c r="E104" s="18"/>
      <c r="F104" s="17"/>
    </row>
    <row r="105" spans="1:6" ht="14.25" customHeight="1">
      <c r="A105" s="5"/>
      <c r="C105" s="17"/>
      <c r="E105" s="18"/>
      <c r="F105" s="17"/>
    </row>
    <row r="106" spans="1:6" ht="14.25" customHeight="1">
      <c r="A106" s="5"/>
      <c r="C106" s="17"/>
      <c r="E106" s="18"/>
      <c r="F106" s="17"/>
    </row>
    <row r="107" spans="1:6" ht="14.25" customHeight="1">
      <c r="A107" s="5"/>
      <c r="C107" s="17"/>
      <c r="E107" s="18"/>
      <c r="F107" s="17"/>
    </row>
    <row r="108" spans="1:6" ht="14.25" customHeight="1">
      <c r="A108" s="5"/>
      <c r="C108" s="17"/>
      <c r="E108" s="18"/>
      <c r="F108" s="17"/>
    </row>
    <row r="109" spans="1:6" ht="14.25" customHeight="1">
      <c r="A109" s="5"/>
      <c r="C109" s="17"/>
      <c r="E109" s="18"/>
      <c r="F109" s="17"/>
    </row>
    <row r="110" spans="1:6" ht="14.25" customHeight="1">
      <c r="A110" s="5"/>
      <c r="C110" s="17"/>
      <c r="E110" s="18"/>
      <c r="F110" s="17"/>
    </row>
    <row r="111" spans="1:6" ht="14.25" customHeight="1">
      <c r="A111" s="5"/>
      <c r="C111" s="17"/>
      <c r="E111" s="18"/>
      <c r="F111" s="17"/>
    </row>
    <row r="112" spans="1:6" ht="14.25" customHeight="1">
      <c r="A112" s="5"/>
      <c r="C112" s="17"/>
      <c r="E112" s="18"/>
      <c r="F112" s="17"/>
    </row>
    <row r="113" spans="1:6" ht="14.25" customHeight="1">
      <c r="A113" s="5"/>
      <c r="C113" s="17"/>
      <c r="E113" s="18"/>
      <c r="F113" s="17"/>
    </row>
    <row r="114" spans="1:6" ht="14.25" customHeight="1">
      <c r="A114" s="5"/>
      <c r="C114" s="17"/>
      <c r="E114" s="18"/>
      <c r="F114" s="17"/>
    </row>
    <row r="115" spans="1:6" ht="14.25" customHeight="1">
      <c r="A115" s="5"/>
      <c r="C115" s="17"/>
      <c r="E115" s="18"/>
      <c r="F115" s="17"/>
    </row>
    <row r="116" spans="1:6" ht="14.25" customHeight="1">
      <c r="A116" s="5"/>
      <c r="C116" s="17"/>
      <c r="E116" s="18"/>
      <c r="F116" s="17"/>
    </row>
    <row r="117" spans="1:6" ht="14.25" customHeight="1">
      <c r="A117" s="5"/>
      <c r="C117" s="17"/>
      <c r="E117" s="18"/>
      <c r="F117" s="17"/>
    </row>
    <row r="118" spans="1:6" ht="14.25" customHeight="1">
      <c r="A118" s="5"/>
      <c r="C118" s="17"/>
      <c r="E118" s="18"/>
      <c r="F118" s="17"/>
    </row>
    <row r="119" spans="1:6" ht="14.25" customHeight="1">
      <c r="A119" s="5"/>
      <c r="C119" s="17"/>
      <c r="E119" s="18"/>
      <c r="F119" s="17"/>
    </row>
    <row r="120" spans="1:6" ht="14.25" customHeight="1">
      <c r="A120" s="5"/>
      <c r="C120" s="17"/>
      <c r="E120" s="18"/>
      <c r="F120" s="17"/>
    </row>
    <row r="121" spans="1:6" ht="14.25" customHeight="1">
      <c r="A121" s="5"/>
      <c r="C121" s="17"/>
      <c r="E121" s="18"/>
      <c r="F121" s="17"/>
    </row>
    <row r="122" spans="1:6" ht="14.25" customHeight="1">
      <c r="A122" s="5"/>
      <c r="C122" s="17"/>
      <c r="E122" s="18"/>
      <c r="F122" s="17"/>
    </row>
    <row r="123" spans="1:6" ht="14.25" customHeight="1">
      <c r="A123" s="5"/>
      <c r="C123" s="17"/>
      <c r="E123" s="18"/>
      <c r="F123" s="17"/>
    </row>
    <row r="124" spans="1:6" ht="14.25" customHeight="1">
      <c r="A124" s="5"/>
      <c r="C124" s="17"/>
      <c r="E124" s="18"/>
      <c r="F124" s="17"/>
    </row>
    <row r="125" spans="1:6" ht="14.25" customHeight="1">
      <c r="A125" s="5"/>
      <c r="C125" s="17"/>
      <c r="E125" s="18"/>
      <c r="F125" s="17"/>
    </row>
    <row r="126" spans="1:6" ht="14.25" customHeight="1">
      <c r="A126" s="5"/>
      <c r="C126" s="17"/>
      <c r="E126" s="18"/>
      <c r="F126" s="17"/>
    </row>
    <row r="127" spans="1:6" ht="14.25" customHeight="1">
      <c r="A127" s="5"/>
      <c r="C127" s="17"/>
      <c r="E127" s="18"/>
      <c r="F127" s="17"/>
    </row>
    <row r="128" spans="1:6" ht="14.25" customHeight="1">
      <c r="A128" s="5"/>
      <c r="C128" s="17"/>
      <c r="E128" s="18"/>
      <c r="F128" s="17"/>
    </row>
    <row r="129" spans="1:6" ht="14.25" customHeight="1">
      <c r="A129" s="5"/>
      <c r="C129" s="17"/>
      <c r="E129" s="18"/>
      <c r="F129" s="17"/>
    </row>
    <row r="130" spans="1:6" ht="14.25" customHeight="1">
      <c r="A130" s="5"/>
      <c r="C130" s="17"/>
      <c r="E130" s="18"/>
      <c r="F130" s="17"/>
    </row>
    <row r="131" spans="1:6" ht="14.25" customHeight="1">
      <c r="A131" s="5"/>
      <c r="C131" s="17"/>
      <c r="E131" s="18"/>
      <c r="F131" s="17"/>
    </row>
    <row r="132" spans="1:6" ht="14.25" customHeight="1">
      <c r="A132" s="5"/>
      <c r="C132" s="17"/>
      <c r="E132" s="18"/>
      <c r="F132" s="17"/>
    </row>
    <row r="133" spans="1:6" ht="14.25" customHeight="1">
      <c r="A133" s="5"/>
      <c r="C133" s="17"/>
      <c r="E133" s="18"/>
      <c r="F133" s="17"/>
    </row>
    <row r="134" spans="1:6" ht="14.25" customHeight="1">
      <c r="A134" s="5"/>
      <c r="C134" s="17"/>
      <c r="E134" s="18"/>
      <c r="F134" s="17"/>
    </row>
    <row r="135" spans="1:6" ht="14.25" customHeight="1">
      <c r="A135" s="5"/>
      <c r="C135" s="17"/>
      <c r="E135" s="18"/>
      <c r="F135" s="17"/>
    </row>
    <row r="136" spans="1:6" ht="14.25" customHeight="1">
      <c r="A136" s="5"/>
      <c r="C136" s="17"/>
      <c r="E136" s="18"/>
      <c r="F136" s="17"/>
    </row>
    <row r="137" spans="1:6" ht="14.25" customHeight="1">
      <c r="A137" s="5"/>
      <c r="C137" s="17"/>
      <c r="E137" s="18"/>
      <c r="F137" s="17"/>
    </row>
    <row r="138" spans="1:6" ht="14.25" customHeight="1">
      <c r="A138" s="5"/>
      <c r="C138" s="17"/>
      <c r="E138" s="18"/>
      <c r="F138" s="17"/>
    </row>
    <row r="139" spans="1:6" ht="14.25" customHeight="1">
      <c r="A139" s="5"/>
      <c r="C139" s="17"/>
      <c r="E139" s="18"/>
      <c r="F139" s="17"/>
    </row>
    <row r="140" spans="1:6" ht="14.25" customHeight="1">
      <c r="A140" s="5"/>
      <c r="C140" s="17"/>
      <c r="E140" s="18"/>
      <c r="F140" s="17"/>
    </row>
    <row r="141" spans="1:6" ht="14.25" customHeight="1">
      <c r="A141" s="5"/>
      <c r="C141" s="17"/>
      <c r="E141" s="18"/>
      <c r="F141" s="17"/>
    </row>
    <row r="142" spans="1:6" ht="14.25" customHeight="1">
      <c r="A142" s="5"/>
      <c r="C142" s="17"/>
      <c r="E142" s="18"/>
      <c r="F142" s="17"/>
    </row>
    <row r="143" spans="1:6" ht="14.25" customHeight="1">
      <c r="A143" s="5"/>
      <c r="C143" s="17"/>
      <c r="E143" s="18"/>
      <c r="F143" s="17"/>
    </row>
    <row r="144" spans="1:6" ht="14.25" customHeight="1">
      <c r="A144" s="5"/>
      <c r="C144" s="17"/>
      <c r="E144" s="18"/>
      <c r="F144" s="17"/>
    </row>
    <row r="145" spans="1:6" ht="14.25" customHeight="1">
      <c r="A145" s="5"/>
      <c r="C145" s="17"/>
      <c r="E145" s="18"/>
      <c r="F145" s="17"/>
    </row>
    <row r="146" spans="1:6" ht="14.25" customHeight="1">
      <c r="A146" s="5"/>
      <c r="C146" s="17"/>
      <c r="E146" s="18"/>
      <c r="F146" s="17"/>
    </row>
    <row r="147" spans="1:6" ht="14.25" customHeight="1">
      <c r="A147" s="5"/>
      <c r="C147" s="17"/>
      <c r="E147" s="18"/>
      <c r="F147" s="17"/>
    </row>
    <row r="148" spans="1:6" ht="14.25" customHeight="1">
      <c r="A148" s="5"/>
      <c r="C148" s="17"/>
      <c r="E148" s="18"/>
      <c r="F148" s="17"/>
    </row>
    <row r="149" spans="1:6" ht="14.25" customHeight="1">
      <c r="A149" s="5"/>
      <c r="C149" s="17"/>
      <c r="E149" s="18"/>
      <c r="F149" s="17"/>
    </row>
    <row r="150" spans="1:6" ht="14.25" customHeight="1">
      <c r="A150" s="5"/>
      <c r="C150" s="17"/>
      <c r="E150" s="18"/>
      <c r="F150" s="17"/>
    </row>
    <row r="151" spans="1:6" ht="14.25" customHeight="1">
      <c r="A151" s="5"/>
      <c r="C151" s="17"/>
      <c r="E151" s="18"/>
      <c r="F151" s="17"/>
    </row>
    <row r="152" spans="1:6" ht="14.25" customHeight="1">
      <c r="A152" s="5"/>
      <c r="C152" s="17"/>
      <c r="E152" s="18"/>
      <c r="F152" s="17"/>
    </row>
    <row r="153" spans="1:6" ht="14.25" customHeight="1">
      <c r="A153" s="5"/>
      <c r="C153" s="17"/>
      <c r="E153" s="18"/>
      <c r="F153" s="17"/>
    </row>
    <row r="154" spans="1:6" ht="14.25" customHeight="1">
      <c r="A154" s="5"/>
      <c r="C154" s="17"/>
      <c r="E154" s="18"/>
      <c r="F154" s="17"/>
    </row>
    <row r="155" spans="1:6" ht="14.25" customHeight="1">
      <c r="A155" s="5"/>
      <c r="C155" s="17"/>
      <c r="E155" s="18"/>
      <c r="F155" s="17"/>
    </row>
    <row r="156" spans="1:6" ht="14.25" customHeight="1">
      <c r="A156" s="5"/>
      <c r="C156" s="17"/>
      <c r="E156" s="18"/>
      <c r="F156" s="17"/>
    </row>
    <row r="157" spans="1:6" ht="14.25" customHeight="1">
      <c r="A157" s="5"/>
      <c r="C157" s="17"/>
      <c r="E157" s="18"/>
      <c r="F157" s="17"/>
    </row>
    <row r="158" spans="1:6" ht="14.25" customHeight="1">
      <c r="A158" s="5"/>
      <c r="C158" s="17"/>
      <c r="E158" s="18"/>
      <c r="F158" s="17"/>
    </row>
    <row r="159" spans="1:6" ht="14.25" customHeight="1">
      <c r="A159" s="5"/>
      <c r="C159" s="17"/>
      <c r="E159" s="18"/>
      <c r="F159" s="17"/>
    </row>
    <row r="160" spans="1:6" ht="14.25" customHeight="1">
      <c r="A160" s="5"/>
      <c r="C160" s="17"/>
      <c r="E160" s="18"/>
      <c r="F160" s="17"/>
    </row>
    <row r="161" spans="1:6" ht="14.25" customHeight="1">
      <c r="A161" s="5"/>
      <c r="C161" s="17"/>
      <c r="E161" s="18"/>
      <c r="F161" s="17"/>
    </row>
    <row r="162" spans="1:6" ht="14.25" customHeight="1">
      <c r="A162" s="5"/>
      <c r="C162" s="17"/>
      <c r="E162" s="18"/>
      <c r="F162" s="17"/>
    </row>
    <row r="163" spans="1:6" ht="14.25" customHeight="1">
      <c r="A163" s="5"/>
      <c r="C163" s="17"/>
      <c r="E163" s="18"/>
      <c r="F163" s="17"/>
    </row>
    <row r="164" spans="1:6" ht="14.25" customHeight="1">
      <c r="A164" s="5"/>
      <c r="C164" s="17"/>
      <c r="E164" s="18"/>
      <c r="F164" s="17"/>
    </row>
    <row r="165" spans="1:6" ht="14.25" customHeight="1">
      <c r="A165" s="5"/>
      <c r="C165" s="17"/>
      <c r="E165" s="18"/>
      <c r="F165" s="17"/>
    </row>
    <row r="166" spans="1:6" ht="14.25" customHeight="1">
      <c r="A166" s="5"/>
      <c r="C166" s="17"/>
      <c r="E166" s="18"/>
      <c r="F166" s="17"/>
    </row>
    <row r="167" spans="1:6" ht="14.25" customHeight="1">
      <c r="A167" s="5"/>
      <c r="C167" s="17"/>
      <c r="E167" s="18"/>
      <c r="F167" s="17"/>
    </row>
    <row r="168" spans="1:6" ht="14.25" customHeight="1">
      <c r="A168" s="5"/>
      <c r="C168" s="17"/>
      <c r="E168" s="18"/>
      <c r="F168" s="17"/>
    </row>
    <row r="169" spans="1:6" ht="14.25" customHeight="1">
      <c r="A169" s="5"/>
      <c r="C169" s="17"/>
      <c r="E169" s="18"/>
      <c r="F169" s="17"/>
    </row>
    <row r="170" spans="1:6" ht="14.25" customHeight="1">
      <c r="A170" s="5"/>
      <c r="C170" s="17"/>
      <c r="E170" s="18"/>
      <c r="F170" s="17"/>
    </row>
    <row r="171" spans="1:6" ht="14.25" customHeight="1">
      <c r="A171" s="5"/>
      <c r="C171" s="17"/>
      <c r="E171" s="18"/>
      <c r="F171" s="17"/>
    </row>
    <row r="172" spans="1:6" ht="14.25" customHeight="1">
      <c r="A172" s="5"/>
      <c r="C172" s="17"/>
      <c r="E172" s="18"/>
      <c r="F172" s="17"/>
    </row>
    <row r="173" spans="1:6" ht="14.25" customHeight="1">
      <c r="A173" s="5"/>
      <c r="C173" s="17"/>
      <c r="E173" s="18"/>
      <c r="F173" s="17"/>
    </row>
    <row r="174" spans="1:6" ht="14.25" customHeight="1">
      <c r="A174" s="5"/>
      <c r="C174" s="17"/>
      <c r="E174" s="18"/>
      <c r="F174" s="17"/>
    </row>
    <row r="175" spans="1:6" ht="14.25" customHeight="1">
      <c r="A175" s="5"/>
      <c r="C175" s="17"/>
      <c r="E175" s="18"/>
      <c r="F175" s="17"/>
    </row>
    <row r="176" spans="1:6" ht="14.25" customHeight="1">
      <c r="A176" s="5"/>
      <c r="C176" s="17"/>
      <c r="E176" s="18"/>
      <c r="F176" s="17"/>
    </row>
    <row r="177" spans="1:6" ht="14.25" customHeight="1">
      <c r="A177" s="5"/>
      <c r="C177" s="17"/>
      <c r="E177" s="18"/>
      <c r="F177" s="17"/>
    </row>
    <row r="178" spans="1:6" ht="14.25" customHeight="1">
      <c r="A178" s="5"/>
      <c r="C178" s="17"/>
      <c r="E178" s="18"/>
      <c r="F178" s="17"/>
    </row>
    <row r="179" spans="1:6" ht="14.25" customHeight="1">
      <c r="A179" s="5"/>
      <c r="C179" s="17"/>
      <c r="E179" s="18"/>
      <c r="F179" s="17"/>
    </row>
    <row r="180" spans="1:6" ht="14.25" customHeight="1">
      <c r="A180" s="5"/>
      <c r="C180" s="17"/>
      <c r="E180" s="18"/>
      <c r="F180" s="17"/>
    </row>
    <row r="181" spans="1:6" ht="14.25" customHeight="1">
      <c r="A181" s="5"/>
      <c r="C181" s="17"/>
      <c r="E181" s="18"/>
      <c r="F181" s="17"/>
    </row>
    <row r="182" spans="1:6" ht="14.25" customHeight="1">
      <c r="A182" s="5"/>
      <c r="C182" s="17"/>
      <c r="E182" s="18"/>
      <c r="F182" s="17"/>
    </row>
    <row r="183" spans="1:6" ht="14.25" customHeight="1">
      <c r="A183" s="5"/>
      <c r="C183" s="17"/>
      <c r="E183" s="18"/>
      <c r="F183" s="17"/>
    </row>
    <row r="184" spans="1:6" ht="14.25" customHeight="1">
      <c r="A184" s="5"/>
      <c r="C184" s="17"/>
      <c r="E184" s="18"/>
      <c r="F184" s="17"/>
    </row>
    <row r="185" spans="1:6" ht="14.25" customHeight="1">
      <c r="A185" s="5"/>
      <c r="C185" s="17"/>
      <c r="E185" s="18"/>
      <c r="F185" s="17"/>
    </row>
    <row r="186" spans="1:6" ht="14.25" customHeight="1">
      <c r="A186" s="5"/>
      <c r="C186" s="17"/>
      <c r="E186" s="18"/>
      <c r="F186" s="17"/>
    </row>
    <row r="187" spans="1:6" ht="14.25" customHeight="1">
      <c r="A187" s="5"/>
      <c r="C187" s="17"/>
      <c r="E187" s="18"/>
      <c r="F187" s="17"/>
    </row>
    <row r="188" spans="1:6" ht="14.25" customHeight="1">
      <c r="A188" s="5"/>
      <c r="C188" s="17"/>
      <c r="E188" s="18"/>
      <c r="F188" s="17"/>
    </row>
    <row r="189" spans="1:6" ht="14.25" customHeight="1">
      <c r="A189" s="5"/>
      <c r="C189" s="17"/>
      <c r="E189" s="18"/>
      <c r="F189" s="17"/>
    </row>
    <row r="190" spans="1:6" ht="14.25" customHeight="1">
      <c r="A190" s="5"/>
      <c r="C190" s="17"/>
      <c r="E190" s="18"/>
      <c r="F190" s="17"/>
    </row>
    <row r="191" spans="1:6" ht="14.25" customHeight="1">
      <c r="A191" s="5"/>
      <c r="C191" s="17"/>
      <c r="E191" s="18"/>
      <c r="F191" s="17"/>
    </row>
    <row r="192" spans="1:6" ht="14.25" customHeight="1">
      <c r="A192" s="5"/>
      <c r="C192" s="17"/>
      <c r="E192" s="18"/>
      <c r="F192" s="17"/>
    </row>
    <row r="193" spans="1:6" ht="14.25" customHeight="1">
      <c r="A193" s="5"/>
      <c r="C193" s="17"/>
      <c r="E193" s="18"/>
      <c r="F193" s="17"/>
    </row>
    <row r="194" spans="1:6" ht="14.25" customHeight="1">
      <c r="A194" s="5"/>
      <c r="C194" s="17"/>
      <c r="E194" s="18"/>
      <c r="F194" s="17"/>
    </row>
    <row r="195" spans="1:6" ht="14.25" customHeight="1">
      <c r="A195" s="5"/>
      <c r="C195" s="17"/>
      <c r="E195" s="18"/>
      <c r="F195" s="17"/>
    </row>
    <row r="196" spans="1:6" ht="14.25" customHeight="1">
      <c r="A196" s="5"/>
      <c r="C196" s="17"/>
      <c r="E196" s="18"/>
      <c r="F196" s="17"/>
    </row>
    <row r="197" spans="1:6" ht="14.25" customHeight="1">
      <c r="A197" s="5"/>
      <c r="C197" s="17"/>
      <c r="E197" s="18"/>
      <c r="F197" s="17"/>
    </row>
    <row r="198" spans="1:6" ht="14.25" customHeight="1">
      <c r="A198" s="5"/>
      <c r="C198" s="17"/>
      <c r="E198" s="18"/>
      <c r="F198" s="17"/>
    </row>
    <row r="199" spans="1:6" ht="14.25" customHeight="1">
      <c r="A199" s="5"/>
      <c r="C199" s="17"/>
      <c r="E199" s="18"/>
      <c r="F199" s="17"/>
    </row>
    <row r="200" spans="1:6" ht="14.25" customHeight="1">
      <c r="A200" s="5"/>
      <c r="C200" s="17"/>
      <c r="E200" s="18"/>
      <c r="F200" s="17"/>
    </row>
    <row r="201" spans="1:6" ht="14.25" customHeight="1">
      <c r="A201" s="5"/>
      <c r="C201" s="17"/>
      <c r="E201" s="18"/>
      <c r="F201" s="17"/>
    </row>
    <row r="202" spans="1:6" ht="14.25" customHeight="1">
      <c r="A202" s="5"/>
      <c r="C202" s="17"/>
      <c r="E202" s="18"/>
      <c r="F202" s="17"/>
    </row>
    <row r="203" spans="1:6" ht="14.25" customHeight="1">
      <c r="A203" s="5"/>
      <c r="C203" s="17"/>
      <c r="E203" s="18"/>
      <c r="F203" s="17"/>
    </row>
    <row r="204" spans="1:6" ht="14.25" customHeight="1">
      <c r="A204" s="5"/>
      <c r="C204" s="17"/>
      <c r="E204" s="18"/>
      <c r="F204" s="17"/>
    </row>
    <row r="205" spans="1:6" ht="14.25" customHeight="1">
      <c r="A205" s="5"/>
      <c r="C205" s="17"/>
      <c r="E205" s="18"/>
      <c r="F205" s="17"/>
    </row>
    <row r="206" spans="1:6" ht="14.25" customHeight="1">
      <c r="A206" s="5"/>
      <c r="C206" s="17"/>
      <c r="E206" s="18"/>
      <c r="F206" s="17"/>
    </row>
    <row r="207" spans="1:6" ht="14.25" customHeight="1">
      <c r="A207" s="5"/>
      <c r="C207" s="17"/>
      <c r="E207" s="18"/>
      <c r="F207" s="17"/>
    </row>
    <row r="208" spans="1:6" ht="14.25" customHeight="1">
      <c r="A208" s="5"/>
      <c r="C208" s="17"/>
      <c r="E208" s="18"/>
      <c r="F208" s="17"/>
    </row>
    <row r="209" spans="1:6" ht="14.25" customHeight="1">
      <c r="A209" s="5"/>
      <c r="C209" s="17"/>
      <c r="E209" s="18"/>
      <c r="F209" s="17"/>
    </row>
    <row r="210" spans="1:6" ht="14.25" customHeight="1">
      <c r="A210" s="5"/>
      <c r="C210" s="17"/>
      <c r="E210" s="18"/>
      <c r="F210" s="17"/>
    </row>
    <row r="211" spans="1:6" ht="14.25" customHeight="1">
      <c r="A211" s="5"/>
      <c r="C211" s="17"/>
      <c r="E211" s="18"/>
      <c r="F211" s="17"/>
    </row>
    <row r="212" spans="1:6" ht="14.25" customHeight="1">
      <c r="A212" s="5"/>
      <c r="C212" s="17"/>
      <c r="E212" s="18"/>
      <c r="F212" s="17"/>
    </row>
    <row r="213" spans="1:6" ht="14.25" customHeight="1">
      <c r="A213" s="5"/>
      <c r="C213" s="17"/>
      <c r="E213" s="18"/>
      <c r="F213" s="17"/>
    </row>
    <row r="214" spans="1:6" ht="14.25" customHeight="1">
      <c r="A214" s="5"/>
      <c r="C214" s="17"/>
      <c r="E214" s="18"/>
      <c r="F214" s="17"/>
    </row>
    <row r="215" spans="1:6" ht="14.25" customHeight="1">
      <c r="A215" s="5"/>
      <c r="C215" s="17"/>
      <c r="E215" s="18"/>
      <c r="F215" s="17"/>
    </row>
    <row r="216" spans="1:6" ht="14.25" customHeight="1">
      <c r="A216" s="5"/>
      <c r="C216" s="17"/>
      <c r="E216" s="18"/>
      <c r="F216" s="17"/>
    </row>
    <row r="217" spans="1:6" ht="14.25" customHeight="1">
      <c r="A217" s="5"/>
      <c r="C217" s="17"/>
      <c r="E217" s="18"/>
      <c r="F217" s="17"/>
    </row>
    <row r="218" spans="1:6" ht="14.25" customHeight="1">
      <c r="A218" s="5"/>
      <c r="C218" s="17"/>
      <c r="E218" s="18"/>
      <c r="F218" s="17"/>
    </row>
    <row r="219" spans="1:6" ht="14.25" customHeight="1">
      <c r="A219" s="5"/>
      <c r="C219" s="17"/>
      <c r="E219" s="18"/>
      <c r="F219" s="17"/>
    </row>
    <row r="220" spans="1:6" ht="14.25" customHeight="1">
      <c r="A220" s="5"/>
      <c r="C220" s="17"/>
      <c r="E220" s="18"/>
      <c r="F220" s="17"/>
    </row>
    <row r="221" spans="1:6" ht="14.25" customHeight="1">
      <c r="A221" s="5"/>
    </row>
    <row r="222" spans="1:6" ht="14.25" customHeight="1">
      <c r="A222" s="5"/>
    </row>
    <row r="223" spans="1:6" ht="14.25" customHeight="1">
      <c r="A223" s="5"/>
    </row>
    <row r="224" spans="1:6" ht="14.25" customHeight="1">
      <c r="A224" s="5"/>
    </row>
    <row r="225" spans="1:1" ht="14.25" customHeight="1">
      <c r="A225" s="5"/>
    </row>
    <row r="226" spans="1:1" ht="14.25" customHeight="1">
      <c r="A226" s="5"/>
    </row>
    <row r="227" spans="1:1" ht="14.25" customHeight="1">
      <c r="A227" s="5"/>
    </row>
    <row r="228" spans="1:1" ht="14.25" customHeight="1">
      <c r="A228" s="5"/>
    </row>
    <row r="229" spans="1:1" ht="14.25" customHeight="1">
      <c r="A229" s="5"/>
    </row>
    <row r="230" spans="1:1" ht="14.25" customHeight="1">
      <c r="A230" s="5"/>
    </row>
    <row r="231" spans="1:1" ht="14.25" customHeight="1">
      <c r="A231" s="5"/>
    </row>
    <row r="232" spans="1:1" ht="14.25" customHeight="1">
      <c r="A232" s="5"/>
    </row>
    <row r="233" spans="1:1" ht="14.25" customHeight="1">
      <c r="A233" s="5"/>
    </row>
    <row r="234" spans="1:1" ht="14.25" customHeight="1">
      <c r="A234" s="5"/>
    </row>
    <row r="235" spans="1:1" ht="14.25" customHeight="1">
      <c r="A235" s="5"/>
    </row>
    <row r="236" spans="1:1" ht="14.25" customHeight="1">
      <c r="A236" s="5"/>
    </row>
    <row r="237" spans="1:1" ht="14.25" customHeight="1">
      <c r="A237" s="5"/>
    </row>
    <row r="238" spans="1:1" ht="14.25" customHeight="1">
      <c r="A238" s="5"/>
    </row>
    <row r="239" spans="1:1" ht="14.25" customHeight="1">
      <c r="A239" s="5"/>
    </row>
    <row r="240" spans="1:1" ht="14.25" customHeight="1">
      <c r="A240" s="5"/>
    </row>
    <row r="241" spans="1:1" ht="14.25" customHeight="1">
      <c r="A241" s="5"/>
    </row>
    <row r="242" spans="1:1" ht="14.25" customHeight="1">
      <c r="A242" s="5"/>
    </row>
    <row r="243" spans="1:1" ht="14.25" customHeight="1">
      <c r="A243" s="5"/>
    </row>
    <row r="244" spans="1:1" ht="14.25" customHeight="1">
      <c r="A244" s="5"/>
    </row>
    <row r="245" spans="1:1" ht="14.25" customHeight="1">
      <c r="A245" s="5"/>
    </row>
    <row r="246" spans="1:1" ht="14.25" customHeight="1">
      <c r="A246" s="5"/>
    </row>
    <row r="247" spans="1:1" ht="14.25" customHeight="1">
      <c r="A247" s="5"/>
    </row>
    <row r="248" spans="1:1" ht="14.25" customHeight="1">
      <c r="A248" s="5"/>
    </row>
    <row r="249" spans="1:1" ht="14.25" customHeight="1">
      <c r="A249" s="5"/>
    </row>
    <row r="250" spans="1:1" ht="14.25" customHeight="1">
      <c r="A250" s="5"/>
    </row>
    <row r="251" spans="1:1" ht="14.25" customHeight="1">
      <c r="A251" s="5"/>
    </row>
    <row r="252" spans="1:1" ht="14.25" customHeight="1">
      <c r="A252" s="5"/>
    </row>
    <row r="253" spans="1:1" ht="14.25" customHeight="1">
      <c r="A253" s="5"/>
    </row>
    <row r="254" spans="1:1" ht="14.25" customHeight="1">
      <c r="A254" s="5"/>
    </row>
    <row r="255" spans="1:1" ht="14.25" customHeight="1">
      <c r="A255" s="5"/>
    </row>
    <row r="256" spans="1:1" ht="14.25" customHeight="1">
      <c r="A256" s="5"/>
    </row>
    <row r="257" spans="1:1" ht="14.25" customHeight="1">
      <c r="A257" s="5"/>
    </row>
    <row r="258" spans="1:1" ht="14.25" customHeight="1">
      <c r="A258" s="5"/>
    </row>
    <row r="259" spans="1:1" ht="14.25" customHeight="1">
      <c r="A259" s="5"/>
    </row>
    <row r="260" spans="1:1" ht="14.25" customHeight="1">
      <c r="A260" s="5"/>
    </row>
    <row r="261" spans="1:1" ht="14.25" customHeight="1">
      <c r="A261" s="5"/>
    </row>
    <row r="262" spans="1:1" ht="14.25" customHeight="1">
      <c r="A262" s="5"/>
    </row>
    <row r="263" spans="1:1" ht="14.25" customHeight="1">
      <c r="A263" s="5"/>
    </row>
    <row r="264" spans="1:1" ht="14.25" customHeight="1">
      <c r="A264" s="5"/>
    </row>
    <row r="265" spans="1:1" ht="14.25" customHeight="1">
      <c r="A265" s="5"/>
    </row>
    <row r="266" spans="1:1" ht="14.25" customHeight="1">
      <c r="A266" s="5"/>
    </row>
    <row r="267" spans="1:1" ht="14.25" customHeight="1">
      <c r="A267" s="5"/>
    </row>
    <row r="268" spans="1:1" ht="14.25" customHeight="1">
      <c r="A268" s="5"/>
    </row>
    <row r="269" spans="1:1" ht="14.25" customHeight="1">
      <c r="A269" s="5"/>
    </row>
    <row r="270" spans="1:1" ht="14.25" customHeight="1">
      <c r="A270" s="5"/>
    </row>
    <row r="271" spans="1:1" ht="14.25" customHeight="1">
      <c r="A271" s="5"/>
    </row>
    <row r="272" spans="1:1" ht="14.25" customHeight="1">
      <c r="A272" s="5"/>
    </row>
    <row r="273" spans="1:1" ht="14.25" customHeight="1">
      <c r="A273" s="5"/>
    </row>
    <row r="274" spans="1:1" ht="14.25" customHeight="1">
      <c r="A274" s="5"/>
    </row>
    <row r="275" spans="1:1" ht="14.25" customHeight="1">
      <c r="A275" s="5"/>
    </row>
    <row r="276" spans="1:1" ht="14.25" customHeight="1">
      <c r="A276" s="5"/>
    </row>
    <row r="277" spans="1:1" ht="14.25" customHeight="1">
      <c r="A277" s="5"/>
    </row>
    <row r="278" spans="1:1" ht="14.25" customHeight="1">
      <c r="A278" s="5"/>
    </row>
    <row r="279" spans="1:1" ht="14.25" customHeight="1">
      <c r="A279" s="5"/>
    </row>
    <row r="280" spans="1:1" ht="14.25" customHeight="1">
      <c r="A280" s="5"/>
    </row>
    <row r="281" spans="1:1" ht="14.25" customHeight="1">
      <c r="A281" s="5"/>
    </row>
    <row r="282" spans="1:1" ht="14.25" customHeight="1">
      <c r="A282" s="5"/>
    </row>
    <row r="283" spans="1:1" ht="14.25" customHeight="1">
      <c r="A283" s="5"/>
    </row>
    <row r="284" spans="1:1" ht="14.25" customHeight="1">
      <c r="A284" s="5"/>
    </row>
    <row r="285" spans="1:1" ht="14.25" customHeight="1">
      <c r="A285" s="5"/>
    </row>
    <row r="286" spans="1:1" ht="14.25" customHeight="1">
      <c r="A286" s="5"/>
    </row>
    <row r="287" spans="1:1" ht="14.25" customHeight="1">
      <c r="A287" s="5"/>
    </row>
    <row r="288" spans="1:1" ht="14.25" customHeight="1">
      <c r="A288" s="5"/>
    </row>
    <row r="289" spans="1:1" ht="14.25" customHeight="1">
      <c r="A289" s="5"/>
    </row>
    <row r="290" spans="1:1" ht="14.25" customHeight="1">
      <c r="A290" s="5"/>
    </row>
    <row r="291" spans="1:1" ht="14.25" customHeight="1">
      <c r="A291" s="5"/>
    </row>
    <row r="292" spans="1:1" ht="14.25" customHeight="1">
      <c r="A292" s="5"/>
    </row>
    <row r="293" spans="1:1" ht="14.25" customHeight="1">
      <c r="A293" s="5"/>
    </row>
    <row r="294" spans="1:1" ht="14.25" customHeight="1">
      <c r="A294" s="5"/>
    </row>
    <row r="295" spans="1:1" ht="14.25" customHeight="1">
      <c r="A295" s="5"/>
    </row>
    <row r="296" spans="1:1" ht="14.25" customHeight="1">
      <c r="A296" s="5"/>
    </row>
    <row r="297" spans="1:1" ht="14.25" customHeight="1">
      <c r="A297" s="5"/>
    </row>
    <row r="298" spans="1:1" ht="14.25" customHeight="1">
      <c r="A298" s="5"/>
    </row>
    <row r="299" spans="1:1" ht="14.25" customHeight="1">
      <c r="A299" s="5"/>
    </row>
    <row r="300" spans="1:1" ht="14.25" customHeight="1">
      <c r="A300" s="5"/>
    </row>
    <row r="301" spans="1:1" ht="14.25" customHeight="1">
      <c r="A301" s="5"/>
    </row>
    <row r="302" spans="1:1" ht="14.25" customHeight="1">
      <c r="A302" s="5"/>
    </row>
    <row r="303" spans="1:1" ht="14.25" customHeight="1">
      <c r="A303" s="5"/>
    </row>
    <row r="304" spans="1:1" ht="14.25" customHeight="1">
      <c r="A304" s="5"/>
    </row>
    <row r="305" spans="1:1" ht="14.25" customHeight="1">
      <c r="A305" s="5"/>
    </row>
    <row r="306" spans="1:1" ht="14.25" customHeight="1">
      <c r="A306" s="5"/>
    </row>
    <row r="307" spans="1:1" ht="14.25" customHeight="1">
      <c r="A307" s="5"/>
    </row>
    <row r="308" spans="1:1" ht="14.25" customHeight="1">
      <c r="A308" s="5"/>
    </row>
    <row r="309" spans="1:1" ht="14.25" customHeight="1">
      <c r="A309" s="5"/>
    </row>
    <row r="310" spans="1:1" ht="14.25" customHeight="1">
      <c r="A310" s="5"/>
    </row>
    <row r="311" spans="1:1" ht="14.25" customHeight="1">
      <c r="A311" s="5"/>
    </row>
    <row r="312" spans="1:1" ht="14.25" customHeight="1">
      <c r="A312" s="5"/>
    </row>
    <row r="313" spans="1:1" ht="14.25" customHeight="1">
      <c r="A313" s="5"/>
    </row>
    <row r="314" spans="1:1" ht="14.25" customHeight="1">
      <c r="A314" s="5"/>
    </row>
    <row r="315" spans="1:1" ht="14.25" customHeight="1">
      <c r="A315" s="5"/>
    </row>
    <row r="316" spans="1:1" ht="14.25" customHeight="1">
      <c r="A316" s="5"/>
    </row>
    <row r="317" spans="1:1" ht="14.25" customHeight="1">
      <c r="A317" s="5"/>
    </row>
    <row r="318" spans="1:1" ht="14.25" customHeight="1">
      <c r="A318" s="5"/>
    </row>
    <row r="319" spans="1:1" ht="14.25" customHeight="1">
      <c r="A319" s="5"/>
    </row>
    <row r="320" spans="1:1" ht="14.25" customHeight="1">
      <c r="A320" s="5"/>
    </row>
    <row r="321" spans="1:1" ht="14.25" customHeight="1">
      <c r="A321" s="5"/>
    </row>
    <row r="322" spans="1:1" ht="14.25" customHeight="1">
      <c r="A322" s="5"/>
    </row>
    <row r="323" spans="1:1" ht="14.25" customHeight="1">
      <c r="A323" s="5"/>
    </row>
    <row r="324" spans="1:1" ht="14.25" customHeight="1">
      <c r="A324" s="5"/>
    </row>
    <row r="325" spans="1:1" ht="14.25" customHeight="1">
      <c r="A325" s="5"/>
    </row>
    <row r="326" spans="1:1" ht="14.25" customHeight="1">
      <c r="A326" s="5"/>
    </row>
    <row r="327" spans="1:1" ht="14.25" customHeight="1">
      <c r="A327" s="5"/>
    </row>
    <row r="328" spans="1:1" ht="14.25" customHeight="1">
      <c r="A328" s="5"/>
    </row>
    <row r="329" spans="1:1" ht="14.25" customHeight="1">
      <c r="A329" s="5"/>
    </row>
    <row r="330" spans="1:1" ht="14.25" customHeight="1">
      <c r="A330" s="5"/>
    </row>
    <row r="331" spans="1:1" ht="14.25" customHeight="1">
      <c r="A331" s="5"/>
    </row>
    <row r="332" spans="1:1" ht="14.25" customHeight="1">
      <c r="A332" s="5"/>
    </row>
    <row r="333" spans="1:1" ht="14.25" customHeight="1">
      <c r="A333" s="5"/>
    </row>
    <row r="334" spans="1:1" ht="14.25" customHeight="1">
      <c r="A334" s="5"/>
    </row>
    <row r="335" spans="1:1" ht="14.25" customHeight="1">
      <c r="A335" s="5"/>
    </row>
    <row r="336" spans="1:1" ht="14.25" customHeight="1">
      <c r="A336" s="5"/>
    </row>
    <row r="337" spans="1:1" ht="14.25" customHeight="1">
      <c r="A337" s="5"/>
    </row>
    <row r="338" spans="1:1" ht="14.25" customHeight="1">
      <c r="A338" s="5"/>
    </row>
    <row r="339" spans="1:1" ht="14.25" customHeight="1">
      <c r="A339" s="5"/>
    </row>
    <row r="340" spans="1:1" ht="14.25" customHeight="1">
      <c r="A340" s="5"/>
    </row>
    <row r="341" spans="1:1" ht="14.25" customHeight="1">
      <c r="A341" s="5"/>
    </row>
    <row r="342" spans="1:1" ht="14.25" customHeight="1">
      <c r="A342" s="5"/>
    </row>
    <row r="343" spans="1:1" ht="14.25" customHeight="1">
      <c r="A343" s="5"/>
    </row>
    <row r="344" spans="1:1" ht="14.25" customHeight="1">
      <c r="A344" s="5"/>
    </row>
    <row r="345" spans="1:1" ht="14.25" customHeight="1">
      <c r="A345" s="5"/>
    </row>
    <row r="346" spans="1:1" ht="14.25" customHeight="1">
      <c r="A346" s="5"/>
    </row>
    <row r="347" spans="1:1" ht="14.25" customHeight="1">
      <c r="A347" s="5"/>
    </row>
    <row r="348" spans="1:1" ht="14.25" customHeight="1">
      <c r="A348" s="5"/>
    </row>
    <row r="349" spans="1:1" ht="14.25" customHeight="1">
      <c r="A349" s="5"/>
    </row>
    <row r="350" spans="1:1" ht="14.25" customHeight="1">
      <c r="A350" s="5"/>
    </row>
    <row r="351" spans="1:1" ht="14.25" customHeight="1">
      <c r="A351" s="5"/>
    </row>
    <row r="352" spans="1:1" ht="14.25" customHeight="1">
      <c r="A352" s="5"/>
    </row>
    <row r="353" spans="1:1" ht="14.25" customHeight="1">
      <c r="A353" s="5"/>
    </row>
    <row r="354" spans="1:1" ht="14.25" customHeight="1">
      <c r="A354" s="5"/>
    </row>
    <row r="355" spans="1:1" ht="14.25" customHeight="1">
      <c r="A355" s="5"/>
    </row>
    <row r="356" spans="1:1" ht="14.25" customHeight="1">
      <c r="A356" s="5"/>
    </row>
    <row r="357" spans="1:1" ht="14.25" customHeight="1">
      <c r="A357" s="5"/>
    </row>
    <row r="358" spans="1:1" ht="14.25" customHeight="1">
      <c r="A358" s="5"/>
    </row>
    <row r="359" spans="1:1" ht="14.25" customHeight="1">
      <c r="A359" s="5"/>
    </row>
    <row r="360" spans="1:1" ht="14.25" customHeight="1">
      <c r="A360" s="5"/>
    </row>
    <row r="361" spans="1:1" ht="14.25" customHeight="1">
      <c r="A361" s="5"/>
    </row>
    <row r="362" spans="1:1" ht="14.25" customHeight="1">
      <c r="A362" s="5"/>
    </row>
    <row r="363" spans="1:1" ht="14.25" customHeight="1">
      <c r="A363" s="5"/>
    </row>
    <row r="364" spans="1:1" ht="14.25" customHeight="1">
      <c r="A364" s="5"/>
    </row>
    <row r="365" spans="1:1" ht="14.25" customHeight="1">
      <c r="A365" s="5"/>
    </row>
    <row r="366" spans="1:1" ht="14.25" customHeight="1">
      <c r="A366" s="5"/>
    </row>
    <row r="367" spans="1:1" ht="14.25" customHeight="1">
      <c r="A367" s="5"/>
    </row>
    <row r="368" spans="1:1" ht="14.25" customHeight="1">
      <c r="A368" s="5"/>
    </row>
    <row r="369" spans="1:1" ht="14.25" customHeight="1">
      <c r="A369" s="5"/>
    </row>
    <row r="370" spans="1:1" ht="14.25" customHeight="1">
      <c r="A370" s="5"/>
    </row>
    <row r="371" spans="1:1" ht="14.25" customHeight="1">
      <c r="A371" s="5"/>
    </row>
    <row r="372" spans="1:1" ht="14.25" customHeight="1">
      <c r="A372" s="5"/>
    </row>
    <row r="373" spans="1:1" ht="14.25" customHeight="1">
      <c r="A373" s="5"/>
    </row>
    <row r="374" spans="1:1" ht="14.25" customHeight="1">
      <c r="A374" s="5"/>
    </row>
    <row r="375" spans="1:1" ht="14.25" customHeight="1">
      <c r="A375" s="5"/>
    </row>
    <row r="376" spans="1:1" ht="14.25" customHeight="1">
      <c r="A376" s="5"/>
    </row>
    <row r="377" spans="1:1" ht="14.25" customHeight="1">
      <c r="A377" s="5"/>
    </row>
    <row r="378" spans="1:1" ht="14.25" customHeight="1">
      <c r="A378" s="5"/>
    </row>
    <row r="379" spans="1:1" ht="14.25" customHeight="1">
      <c r="A379" s="5"/>
    </row>
    <row r="380" spans="1:1" ht="14.25" customHeight="1">
      <c r="A380" s="5"/>
    </row>
    <row r="381" spans="1:1" ht="14.25" customHeight="1">
      <c r="A381" s="5"/>
    </row>
    <row r="382" spans="1:1" ht="14.25" customHeight="1">
      <c r="A382" s="5"/>
    </row>
    <row r="383" spans="1:1" ht="14.25" customHeight="1">
      <c r="A383" s="5"/>
    </row>
    <row r="384" spans="1:1" ht="14.25" customHeight="1">
      <c r="A384" s="5"/>
    </row>
    <row r="385" spans="1:1" ht="14.25" customHeight="1">
      <c r="A385" s="5"/>
    </row>
    <row r="386" spans="1:1" ht="14.25" customHeight="1">
      <c r="A386" s="5"/>
    </row>
    <row r="387" spans="1:1" ht="14.25" customHeight="1">
      <c r="A387" s="5"/>
    </row>
    <row r="388" spans="1:1" ht="14.25" customHeight="1">
      <c r="A388" s="5"/>
    </row>
    <row r="389" spans="1:1" ht="14.25" customHeight="1">
      <c r="A389" s="5"/>
    </row>
    <row r="390" spans="1:1" ht="14.25" customHeight="1">
      <c r="A390" s="5"/>
    </row>
    <row r="391" spans="1:1" ht="14.25" customHeight="1">
      <c r="A391" s="5"/>
    </row>
    <row r="392" spans="1:1" ht="14.25" customHeight="1">
      <c r="A392" s="5"/>
    </row>
    <row r="393" spans="1:1" ht="14.25" customHeight="1">
      <c r="A393" s="5"/>
    </row>
    <row r="394" spans="1:1" ht="14.25" customHeight="1">
      <c r="A394" s="5"/>
    </row>
    <row r="395" spans="1:1" ht="14.25" customHeight="1">
      <c r="A395" s="5"/>
    </row>
    <row r="396" spans="1:1" ht="14.25" customHeight="1">
      <c r="A396" s="5"/>
    </row>
    <row r="397" spans="1:1" ht="14.25" customHeight="1">
      <c r="A397" s="5"/>
    </row>
    <row r="398" spans="1:1" ht="14.25" customHeight="1">
      <c r="A398" s="5"/>
    </row>
    <row r="399" spans="1:1" ht="14.25" customHeight="1">
      <c r="A399" s="5"/>
    </row>
    <row r="400" spans="1:1" ht="14.25" customHeight="1">
      <c r="A400" s="5"/>
    </row>
    <row r="401" spans="1:1" ht="14.25" customHeight="1">
      <c r="A401" s="5"/>
    </row>
    <row r="402" spans="1:1" ht="14.25" customHeight="1">
      <c r="A402" s="5"/>
    </row>
    <row r="403" spans="1:1" ht="14.25" customHeight="1">
      <c r="A403" s="5"/>
    </row>
    <row r="404" spans="1:1" ht="14.25" customHeight="1">
      <c r="A404" s="5"/>
    </row>
    <row r="405" spans="1:1" ht="14.25" customHeight="1">
      <c r="A405" s="5"/>
    </row>
    <row r="406" spans="1:1" ht="14.25" customHeight="1">
      <c r="A406" s="5"/>
    </row>
    <row r="407" spans="1:1" ht="14.25" customHeight="1">
      <c r="A407" s="5"/>
    </row>
    <row r="408" spans="1:1" ht="14.25" customHeight="1">
      <c r="A408" s="5"/>
    </row>
    <row r="409" spans="1:1" ht="14.25" customHeight="1">
      <c r="A409" s="5"/>
    </row>
    <row r="410" spans="1:1" ht="14.25" customHeight="1">
      <c r="A410" s="5"/>
    </row>
    <row r="411" spans="1:1" ht="14.25" customHeight="1">
      <c r="A411" s="5"/>
    </row>
    <row r="412" spans="1:1" ht="14.25" customHeight="1">
      <c r="A412" s="5"/>
    </row>
    <row r="413" spans="1:1" ht="14.25" customHeight="1">
      <c r="A413" s="5"/>
    </row>
    <row r="414" spans="1:1" ht="14.25" customHeight="1">
      <c r="A414" s="5"/>
    </row>
    <row r="415" spans="1:1" ht="14.25" customHeight="1">
      <c r="A415" s="5"/>
    </row>
    <row r="416" spans="1:1" ht="14.25" customHeight="1">
      <c r="A416" s="5"/>
    </row>
    <row r="417" spans="1:1" ht="14.25" customHeight="1">
      <c r="A417" s="5"/>
    </row>
    <row r="418" spans="1:1" ht="14.25" customHeight="1">
      <c r="A418" s="5"/>
    </row>
    <row r="419" spans="1:1" ht="14.25" customHeight="1">
      <c r="A419" s="5"/>
    </row>
    <row r="420" spans="1:1" ht="14.25" customHeight="1">
      <c r="A420" s="5"/>
    </row>
    <row r="421" spans="1:1" ht="14.25" customHeight="1">
      <c r="A421" s="5"/>
    </row>
    <row r="422" spans="1:1" ht="14.25" customHeight="1">
      <c r="A422" s="5"/>
    </row>
    <row r="423" spans="1:1" ht="14.25" customHeight="1">
      <c r="A423" s="5"/>
    </row>
    <row r="424" spans="1:1" ht="14.25" customHeight="1">
      <c r="A424" s="5"/>
    </row>
    <row r="425" spans="1:1" ht="14.25" customHeight="1">
      <c r="A425" s="5"/>
    </row>
    <row r="426" spans="1:1" ht="14.25" customHeight="1">
      <c r="A426" s="5"/>
    </row>
    <row r="427" spans="1:1" ht="14.25" customHeight="1">
      <c r="A427" s="5"/>
    </row>
    <row r="428" spans="1:1" ht="14.25" customHeight="1">
      <c r="A428" s="5"/>
    </row>
    <row r="429" spans="1:1" ht="14.25" customHeight="1">
      <c r="A429" s="5"/>
    </row>
    <row r="430" spans="1:1" ht="14.25" customHeight="1">
      <c r="A430" s="5"/>
    </row>
    <row r="431" spans="1:1" ht="14.25" customHeight="1">
      <c r="A431" s="5"/>
    </row>
    <row r="432" spans="1:1" ht="14.25" customHeight="1">
      <c r="A432" s="5"/>
    </row>
    <row r="433" spans="1:1" ht="14.25" customHeight="1">
      <c r="A433" s="5"/>
    </row>
    <row r="434" spans="1:1" ht="14.25" customHeight="1">
      <c r="A434" s="5"/>
    </row>
    <row r="435" spans="1:1" ht="14.25" customHeight="1">
      <c r="A435" s="5"/>
    </row>
    <row r="436" spans="1:1" ht="14.25" customHeight="1">
      <c r="A436" s="5"/>
    </row>
    <row r="437" spans="1:1" ht="14.25" customHeight="1">
      <c r="A437" s="5"/>
    </row>
    <row r="438" spans="1:1" ht="14.25" customHeight="1">
      <c r="A438" s="5"/>
    </row>
    <row r="439" spans="1:1" ht="14.25" customHeight="1">
      <c r="A439" s="5"/>
    </row>
    <row r="440" spans="1:1" ht="14.25" customHeight="1">
      <c r="A440" s="5"/>
    </row>
    <row r="441" spans="1:1" ht="14.25" customHeight="1">
      <c r="A441" s="5"/>
    </row>
    <row r="442" spans="1:1" ht="14.25" customHeight="1">
      <c r="A442" s="5"/>
    </row>
    <row r="443" spans="1:1" ht="14.25" customHeight="1">
      <c r="A443" s="5"/>
    </row>
    <row r="444" spans="1:1" ht="14.25" customHeight="1">
      <c r="A444" s="5"/>
    </row>
    <row r="445" spans="1:1" ht="14.25" customHeight="1">
      <c r="A445" s="5"/>
    </row>
    <row r="446" spans="1:1" ht="14.25" customHeight="1">
      <c r="A446" s="5"/>
    </row>
    <row r="447" spans="1:1" ht="14.25" customHeight="1">
      <c r="A447" s="5"/>
    </row>
    <row r="448" spans="1:1" ht="14.25" customHeight="1">
      <c r="A448" s="5"/>
    </row>
    <row r="449" spans="1:1" ht="14.25" customHeight="1">
      <c r="A449" s="5"/>
    </row>
    <row r="450" spans="1:1" ht="14.25" customHeight="1">
      <c r="A450" s="5"/>
    </row>
    <row r="451" spans="1:1" ht="14.25" customHeight="1">
      <c r="A451" s="5"/>
    </row>
    <row r="452" spans="1:1" ht="14.25" customHeight="1">
      <c r="A452" s="5"/>
    </row>
    <row r="453" spans="1:1" ht="14.25" customHeight="1">
      <c r="A453" s="5"/>
    </row>
    <row r="454" spans="1:1" ht="14.25" customHeight="1">
      <c r="A454" s="5"/>
    </row>
    <row r="455" spans="1:1" ht="14.25" customHeight="1">
      <c r="A455" s="5"/>
    </row>
    <row r="456" spans="1:1" ht="14.25" customHeight="1">
      <c r="A456" s="5"/>
    </row>
    <row r="457" spans="1:1" ht="14.25" customHeight="1">
      <c r="A457" s="5"/>
    </row>
    <row r="458" spans="1:1" ht="14.25" customHeight="1">
      <c r="A458" s="5"/>
    </row>
    <row r="459" spans="1:1" ht="14.25" customHeight="1">
      <c r="A459" s="5"/>
    </row>
    <row r="460" spans="1:1" ht="14.25" customHeight="1">
      <c r="A460" s="5"/>
    </row>
    <row r="461" spans="1:1" ht="14.25" customHeight="1">
      <c r="A461" s="5"/>
    </row>
    <row r="462" spans="1:1" ht="14.25" customHeight="1">
      <c r="A462" s="5"/>
    </row>
    <row r="463" spans="1:1" ht="14.25" customHeight="1">
      <c r="A463" s="5"/>
    </row>
    <row r="464" spans="1:1" ht="14.25" customHeight="1">
      <c r="A464" s="5"/>
    </row>
    <row r="465" spans="1:1" ht="14.25" customHeight="1">
      <c r="A465" s="5"/>
    </row>
    <row r="466" spans="1:1" ht="14.25" customHeight="1">
      <c r="A466" s="5"/>
    </row>
    <row r="467" spans="1:1" ht="14.25" customHeight="1">
      <c r="A467" s="5"/>
    </row>
    <row r="468" spans="1:1" ht="14.25" customHeight="1">
      <c r="A468" s="5"/>
    </row>
    <row r="469" spans="1:1" ht="14.25" customHeight="1">
      <c r="A469" s="5"/>
    </row>
    <row r="470" spans="1:1" ht="14.25" customHeight="1">
      <c r="A470" s="5"/>
    </row>
    <row r="471" spans="1:1" ht="14.25" customHeight="1">
      <c r="A471" s="5"/>
    </row>
    <row r="472" spans="1:1" ht="14.25" customHeight="1">
      <c r="A472" s="5"/>
    </row>
    <row r="473" spans="1:1" ht="14.25" customHeight="1">
      <c r="A473" s="5"/>
    </row>
    <row r="474" spans="1:1" ht="14.25" customHeight="1">
      <c r="A474" s="5"/>
    </row>
    <row r="475" spans="1:1" ht="14.25" customHeight="1">
      <c r="A475" s="5"/>
    </row>
    <row r="476" spans="1:1" ht="14.25" customHeight="1">
      <c r="A476" s="5"/>
    </row>
    <row r="477" spans="1:1" ht="14.25" customHeight="1">
      <c r="A477" s="5"/>
    </row>
    <row r="478" spans="1:1" ht="14.25" customHeight="1">
      <c r="A478" s="5"/>
    </row>
    <row r="479" spans="1:1" ht="14.25" customHeight="1">
      <c r="A479" s="5"/>
    </row>
    <row r="480" spans="1:1" ht="14.25" customHeight="1">
      <c r="A480" s="5"/>
    </row>
    <row r="481" spans="1:1" ht="14.25" customHeight="1">
      <c r="A481" s="5"/>
    </row>
    <row r="482" spans="1:1" ht="14.25" customHeight="1">
      <c r="A482" s="5"/>
    </row>
    <row r="483" spans="1:1" ht="14.25" customHeight="1">
      <c r="A483" s="5"/>
    </row>
    <row r="484" spans="1:1" ht="14.25" customHeight="1">
      <c r="A484" s="5"/>
    </row>
    <row r="485" spans="1:1" ht="14.25" customHeight="1">
      <c r="A485" s="5"/>
    </row>
    <row r="486" spans="1:1" ht="14.25" customHeight="1">
      <c r="A486" s="5"/>
    </row>
    <row r="487" spans="1:1" ht="14.25" customHeight="1">
      <c r="A487" s="5"/>
    </row>
    <row r="488" spans="1:1" ht="14.25" customHeight="1">
      <c r="A488" s="5"/>
    </row>
    <row r="489" spans="1:1" ht="14.25" customHeight="1">
      <c r="A489" s="5"/>
    </row>
    <row r="490" spans="1:1" ht="14.25" customHeight="1">
      <c r="A490" s="5"/>
    </row>
    <row r="491" spans="1:1" ht="14.25" customHeight="1">
      <c r="A491" s="5"/>
    </row>
    <row r="492" spans="1:1" ht="14.25" customHeight="1">
      <c r="A492" s="5"/>
    </row>
    <row r="493" spans="1:1" ht="14.25" customHeight="1">
      <c r="A493" s="5"/>
    </row>
    <row r="494" spans="1:1" ht="14.25" customHeight="1">
      <c r="A494" s="5"/>
    </row>
    <row r="495" spans="1:1" ht="14.25" customHeight="1">
      <c r="A495" s="5"/>
    </row>
    <row r="496" spans="1:1" ht="14.25" customHeight="1">
      <c r="A496" s="5"/>
    </row>
    <row r="497" spans="1:1" ht="14.25" customHeight="1">
      <c r="A497" s="5"/>
    </row>
    <row r="498" spans="1:1" ht="14.25" customHeight="1">
      <c r="A498" s="5"/>
    </row>
    <row r="499" spans="1:1" ht="14.25" customHeight="1">
      <c r="A499" s="5"/>
    </row>
    <row r="500" spans="1:1" ht="14.25" customHeight="1">
      <c r="A500" s="5"/>
    </row>
    <row r="501" spans="1:1" ht="14.25" customHeight="1">
      <c r="A501" s="5"/>
    </row>
    <row r="502" spans="1:1" ht="14.25" customHeight="1">
      <c r="A502" s="5"/>
    </row>
    <row r="503" spans="1:1" ht="14.25" customHeight="1">
      <c r="A503" s="5"/>
    </row>
    <row r="504" spans="1:1" ht="14.25" customHeight="1">
      <c r="A504" s="5"/>
    </row>
    <row r="505" spans="1:1" ht="14.25" customHeight="1">
      <c r="A505" s="5"/>
    </row>
    <row r="506" spans="1:1" ht="14.25" customHeight="1">
      <c r="A506" s="5"/>
    </row>
    <row r="507" spans="1:1" ht="14.25" customHeight="1">
      <c r="A507" s="5"/>
    </row>
    <row r="508" spans="1:1" ht="14.25" customHeight="1">
      <c r="A508" s="5"/>
    </row>
    <row r="509" spans="1:1" ht="14.25" customHeight="1">
      <c r="A509" s="5"/>
    </row>
    <row r="510" spans="1:1" ht="14.25" customHeight="1">
      <c r="A510" s="5"/>
    </row>
    <row r="511" spans="1:1" ht="14.25" customHeight="1">
      <c r="A511" s="5"/>
    </row>
    <row r="512" spans="1:1" ht="14.25" customHeight="1">
      <c r="A512" s="5"/>
    </row>
    <row r="513" spans="1:1" ht="14.25" customHeight="1">
      <c r="A513" s="5"/>
    </row>
    <row r="514" spans="1:1" ht="14.25" customHeight="1">
      <c r="A514" s="5"/>
    </row>
    <row r="515" spans="1:1" ht="14.25" customHeight="1">
      <c r="A515" s="5"/>
    </row>
    <row r="516" spans="1:1" ht="14.25" customHeight="1">
      <c r="A516" s="5"/>
    </row>
    <row r="517" spans="1:1" ht="14.25" customHeight="1">
      <c r="A517" s="5"/>
    </row>
    <row r="518" spans="1:1" ht="14.25" customHeight="1">
      <c r="A518" s="5"/>
    </row>
    <row r="519" spans="1:1" ht="14.25" customHeight="1">
      <c r="A519" s="5"/>
    </row>
    <row r="520" spans="1:1" ht="14.25" customHeight="1">
      <c r="A520" s="5"/>
    </row>
    <row r="521" spans="1:1" ht="14.25" customHeight="1">
      <c r="A521" s="5"/>
    </row>
    <row r="522" spans="1:1" ht="14.25" customHeight="1">
      <c r="A522" s="5"/>
    </row>
    <row r="523" spans="1:1" ht="14.25" customHeight="1">
      <c r="A523" s="5"/>
    </row>
    <row r="524" spans="1:1" ht="14.25" customHeight="1">
      <c r="A524" s="5"/>
    </row>
    <row r="525" spans="1:1" ht="14.25" customHeight="1">
      <c r="A525" s="5"/>
    </row>
    <row r="526" spans="1:1" ht="14.25" customHeight="1">
      <c r="A526" s="5"/>
    </row>
    <row r="527" spans="1:1" ht="14.25" customHeight="1">
      <c r="A527" s="5"/>
    </row>
    <row r="528" spans="1:1" ht="14.25" customHeight="1">
      <c r="A528" s="5"/>
    </row>
    <row r="529" spans="1:1" ht="14.25" customHeight="1">
      <c r="A529" s="5"/>
    </row>
    <row r="530" spans="1:1" ht="14.25" customHeight="1">
      <c r="A530" s="5"/>
    </row>
    <row r="531" spans="1:1" ht="14.25" customHeight="1">
      <c r="A531" s="5"/>
    </row>
    <row r="532" spans="1:1" ht="14.25" customHeight="1">
      <c r="A532" s="5"/>
    </row>
    <row r="533" spans="1:1" ht="14.25" customHeight="1">
      <c r="A533" s="5"/>
    </row>
    <row r="534" spans="1:1" ht="14.25" customHeight="1">
      <c r="A534" s="5"/>
    </row>
    <row r="535" spans="1:1" ht="14.25" customHeight="1">
      <c r="A535" s="5"/>
    </row>
    <row r="536" spans="1:1" ht="14.25" customHeight="1">
      <c r="A536" s="5"/>
    </row>
    <row r="537" spans="1:1" ht="14.25" customHeight="1">
      <c r="A537" s="5"/>
    </row>
    <row r="538" spans="1:1" ht="14.25" customHeight="1">
      <c r="A538" s="5"/>
    </row>
    <row r="539" spans="1:1" ht="14.25" customHeight="1">
      <c r="A539" s="5"/>
    </row>
    <row r="540" spans="1:1" ht="14.25" customHeight="1">
      <c r="A540" s="5"/>
    </row>
    <row r="541" spans="1:1" ht="14.25" customHeight="1">
      <c r="A541" s="5"/>
    </row>
    <row r="542" spans="1:1" ht="14.25" customHeight="1">
      <c r="A542" s="5"/>
    </row>
    <row r="543" spans="1:1" ht="14.25" customHeight="1">
      <c r="A543" s="5"/>
    </row>
    <row r="544" spans="1:1" ht="14.25" customHeight="1">
      <c r="A544" s="5"/>
    </row>
    <row r="545" spans="1:1" ht="14.25" customHeight="1">
      <c r="A545" s="5"/>
    </row>
    <row r="546" spans="1:1" ht="14.25" customHeight="1">
      <c r="A546" s="5"/>
    </row>
    <row r="547" spans="1:1" ht="14.25" customHeight="1">
      <c r="A547" s="5"/>
    </row>
    <row r="548" spans="1:1" ht="14.25" customHeight="1">
      <c r="A548" s="5"/>
    </row>
    <row r="549" spans="1:1" ht="14.25" customHeight="1">
      <c r="A549" s="5"/>
    </row>
    <row r="550" spans="1:1" ht="14.25" customHeight="1">
      <c r="A550" s="5"/>
    </row>
    <row r="551" spans="1:1" ht="14.25" customHeight="1">
      <c r="A551" s="5"/>
    </row>
    <row r="552" spans="1:1" ht="14.25" customHeight="1">
      <c r="A552" s="5"/>
    </row>
    <row r="553" spans="1:1" ht="14.25" customHeight="1">
      <c r="A553" s="5"/>
    </row>
    <row r="554" spans="1:1" ht="14.25" customHeight="1">
      <c r="A554" s="5"/>
    </row>
    <row r="555" spans="1:1" ht="14.25" customHeight="1">
      <c r="A555" s="5"/>
    </row>
    <row r="556" spans="1:1" ht="14.25" customHeight="1">
      <c r="A556" s="5"/>
    </row>
    <row r="557" spans="1:1" ht="14.25" customHeight="1">
      <c r="A557" s="5"/>
    </row>
    <row r="558" spans="1:1" ht="14.25" customHeight="1">
      <c r="A558" s="5"/>
    </row>
    <row r="559" spans="1:1" ht="14.25" customHeight="1">
      <c r="A559" s="5"/>
    </row>
    <row r="560" spans="1:1" ht="14.25" customHeight="1">
      <c r="A560" s="5"/>
    </row>
    <row r="561" spans="1:1" ht="14.25" customHeight="1">
      <c r="A561" s="5"/>
    </row>
    <row r="562" spans="1:1" ht="14.25" customHeight="1">
      <c r="A562" s="5"/>
    </row>
    <row r="563" spans="1:1" ht="14.25" customHeight="1">
      <c r="A563" s="5"/>
    </row>
    <row r="564" spans="1:1" ht="14.25" customHeight="1">
      <c r="A564" s="5"/>
    </row>
    <row r="565" spans="1:1" ht="14.25" customHeight="1">
      <c r="A565" s="5"/>
    </row>
    <row r="566" spans="1:1" ht="14.25" customHeight="1">
      <c r="A566" s="5"/>
    </row>
    <row r="567" spans="1:1" ht="14.25" customHeight="1">
      <c r="A567" s="5"/>
    </row>
    <row r="568" spans="1:1" ht="14.25" customHeight="1">
      <c r="A568" s="5"/>
    </row>
    <row r="569" spans="1:1" ht="14.25" customHeight="1">
      <c r="A569" s="5"/>
    </row>
    <row r="570" spans="1:1" ht="14.25" customHeight="1">
      <c r="A570" s="5"/>
    </row>
    <row r="571" spans="1:1" ht="14.25" customHeight="1">
      <c r="A571" s="5"/>
    </row>
    <row r="572" spans="1:1" ht="14.25" customHeight="1">
      <c r="A572" s="5"/>
    </row>
    <row r="573" spans="1:1" ht="14.25" customHeight="1">
      <c r="A573" s="5"/>
    </row>
    <row r="574" spans="1:1" ht="14.25" customHeight="1">
      <c r="A574" s="5"/>
    </row>
    <row r="575" spans="1:1" ht="14.25" customHeight="1">
      <c r="A575" s="5"/>
    </row>
    <row r="576" spans="1:1" ht="14.25" customHeight="1">
      <c r="A576" s="5"/>
    </row>
    <row r="577" spans="1:1" ht="14.25" customHeight="1">
      <c r="A577" s="5"/>
    </row>
    <row r="578" spans="1:1" ht="14.25" customHeight="1">
      <c r="A578" s="5"/>
    </row>
    <row r="579" spans="1:1" ht="14.25" customHeight="1">
      <c r="A579" s="5"/>
    </row>
    <row r="580" spans="1:1" ht="14.25" customHeight="1">
      <c r="A580" s="5"/>
    </row>
    <row r="581" spans="1:1" ht="14.25" customHeight="1">
      <c r="A581" s="5"/>
    </row>
    <row r="582" spans="1:1" ht="14.25" customHeight="1">
      <c r="A582" s="5"/>
    </row>
    <row r="583" spans="1:1" ht="14.25" customHeight="1">
      <c r="A583" s="5"/>
    </row>
    <row r="584" spans="1:1" ht="14.25" customHeight="1">
      <c r="A584" s="5"/>
    </row>
    <row r="585" spans="1:1" ht="14.25" customHeight="1">
      <c r="A585" s="5"/>
    </row>
    <row r="586" spans="1:1" ht="14.25" customHeight="1">
      <c r="A586" s="5"/>
    </row>
    <row r="587" spans="1:1" ht="14.25" customHeight="1">
      <c r="A587" s="5"/>
    </row>
    <row r="588" spans="1:1" ht="14.25" customHeight="1">
      <c r="A588" s="5"/>
    </row>
    <row r="589" spans="1:1" ht="14.25" customHeight="1">
      <c r="A589" s="5"/>
    </row>
    <row r="590" spans="1:1" ht="14.25" customHeight="1">
      <c r="A590" s="5"/>
    </row>
    <row r="591" spans="1:1" ht="14.25" customHeight="1">
      <c r="A591" s="5"/>
    </row>
    <row r="592" spans="1:1" ht="14.25" customHeight="1">
      <c r="A592" s="5"/>
    </row>
    <row r="593" spans="1:1" ht="14.25" customHeight="1">
      <c r="A593" s="5"/>
    </row>
    <row r="594" spans="1:1" ht="14.25" customHeight="1">
      <c r="A594" s="5"/>
    </row>
    <row r="595" spans="1:1" ht="14.25" customHeight="1">
      <c r="A595" s="5"/>
    </row>
    <row r="596" spans="1:1" ht="14.25" customHeight="1">
      <c r="A596" s="5"/>
    </row>
    <row r="597" spans="1:1" ht="14.25" customHeight="1">
      <c r="A597" s="5"/>
    </row>
    <row r="598" spans="1:1" ht="14.25" customHeight="1">
      <c r="A598" s="5"/>
    </row>
    <row r="599" spans="1:1" ht="14.25" customHeight="1">
      <c r="A599" s="5"/>
    </row>
    <row r="600" spans="1:1" ht="14.25" customHeight="1">
      <c r="A600" s="5"/>
    </row>
    <row r="601" spans="1:1" ht="14.25" customHeight="1">
      <c r="A601" s="5"/>
    </row>
    <row r="602" spans="1:1" ht="14.25" customHeight="1">
      <c r="A602" s="5"/>
    </row>
    <row r="603" spans="1:1" ht="14.25" customHeight="1">
      <c r="A603" s="5"/>
    </row>
    <row r="604" spans="1:1" ht="14.25" customHeight="1">
      <c r="A604" s="5"/>
    </row>
    <row r="605" spans="1:1" ht="14.25" customHeight="1">
      <c r="A605" s="5"/>
    </row>
    <row r="606" spans="1:1" ht="14.25" customHeight="1">
      <c r="A606" s="5"/>
    </row>
    <row r="607" spans="1:1" ht="14.25" customHeight="1">
      <c r="A607" s="5"/>
    </row>
    <row r="608" spans="1:1" ht="14.25" customHeight="1">
      <c r="A608" s="5"/>
    </row>
    <row r="609" spans="1:1" ht="14.25" customHeight="1">
      <c r="A609" s="5"/>
    </row>
    <row r="610" spans="1:1" ht="14.25" customHeight="1">
      <c r="A610" s="5"/>
    </row>
    <row r="611" spans="1:1" ht="14.25" customHeight="1">
      <c r="A611" s="5"/>
    </row>
    <row r="612" spans="1:1" ht="14.25" customHeight="1">
      <c r="A612" s="5"/>
    </row>
    <row r="613" spans="1:1" ht="14.25" customHeight="1">
      <c r="A613" s="5"/>
    </row>
    <row r="614" spans="1:1" ht="14.25" customHeight="1">
      <c r="A614" s="5"/>
    </row>
    <row r="615" spans="1:1" ht="14.25" customHeight="1">
      <c r="A615" s="5"/>
    </row>
    <row r="616" spans="1:1" ht="14.25" customHeight="1">
      <c r="A616" s="5"/>
    </row>
    <row r="617" spans="1:1" ht="14.25" customHeight="1">
      <c r="A617" s="5"/>
    </row>
    <row r="618" spans="1:1" ht="14.25" customHeight="1">
      <c r="A618" s="5"/>
    </row>
    <row r="619" spans="1:1" ht="14.25" customHeight="1">
      <c r="A619" s="5"/>
    </row>
    <row r="620" spans="1:1" ht="14.25" customHeight="1">
      <c r="A620" s="5"/>
    </row>
    <row r="621" spans="1:1" ht="14.25" customHeight="1">
      <c r="A621" s="5"/>
    </row>
    <row r="622" spans="1:1" ht="14.25" customHeight="1">
      <c r="A622" s="5"/>
    </row>
    <row r="623" spans="1:1" ht="14.25" customHeight="1">
      <c r="A623" s="5"/>
    </row>
    <row r="624" spans="1:1" ht="14.25" customHeight="1">
      <c r="A624" s="5"/>
    </row>
    <row r="625" spans="1:1" ht="14.25" customHeight="1">
      <c r="A625" s="5"/>
    </row>
    <row r="626" spans="1:1" ht="14.25" customHeight="1">
      <c r="A626" s="5"/>
    </row>
    <row r="627" spans="1:1" ht="14.25" customHeight="1">
      <c r="A627" s="5"/>
    </row>
    <row r="628" spans="1:1" ht="14.25" customHeight="1">
      <c r="A628" s="5"/>
    </row>
    <row r="629" spans="1:1" ht="14.25" customHeight="1">
      <c r="A629" s="5"/>
    </row>
    <row r="630" spans="1:1" ht="14.25" customHeight="1">
      <c r="A630" s="5"/>
    </row>
    <row r="631" spans="1:1" ht="14.25" customHeight="1">
      <c r="A631" s="5"/>
    </row>
    <row r="632" spans="1:1" ht="14.25" customHeight="1">
      <c r="A632" s="5"/>
    </row>
    <row r="633" spans="1:1" ht="14.25" customHeight="1">
      <c r="A633" s="5"/>
    </row>
    <row r="634" spans="1:1" ht="14.25" customHeight="1">
      <c r="A634" s="5"/>
    </row>
    <row r="635" spans="1:1" ht="14.25" customHeight="1">
      <c r="A635" s="5"/>
    </row>
    <row r="636" spans="1:1" ht="14.25" customHeight="1">
      <c r="A636" s="5"/>
    </row>
    <row r="637" spans="1:1" ht="14.25" customHeight="1">
      <c r="A637" s="5"/>
    </row>
    <row r="638" spans="1:1" ht="14.25" customHeight="1">
      <c r="A638" s="5"/>
    </row>
    <row r="639" spans="1:1" ht="14.25" customHeight="1">
      <c r="A639" s="5"/>
    </row>
    <row r="640" spans="1:1" ht="14.25" customHeight="1">
      <c r="A640" s="5"/>
    </row>
    <row r="641" spans="1:1" ht="14.25" customHeight="1">
      <c r="A641" s="5"/>
    </row>
    <row r="642" spans="1:1" ht="14.25" customHeight="1">
      <c r="A642" s="5"/>
    </row>
    <row r="643" spans="1:1" ht="14.25" customHeight="1">
      <c r="A643" s="5"/>
    </row>
    <row r="644" spans="1:1" ht="14.25" customHeight="1">
      <c r="A644" s="5"/>
    </row>
    <row r="645" spans="1:1" ht="14.25" customHeight="1">
      <c r="A645" s="5"/>
    </row>
    <row r="646" spans="1:1" ht="14.25" customHeight="1">
      <c r="A646" s="5"/>
    </row>
    <row r="647" spans="1:1" ht="14.25" customHeight="1">
      <c r="A647" s="5"/>
    </row>
    <row r="648" spans="1:1" ht="14.25" customHeight="1">
      <c r="A648" s="5"/>
    </row>
    <row r="649" spans="1:1" ht="14.25" customHeight="1">
      <c r="A649" s="5"/>
    </row>
    <row r="650" spans="1:1" ht="14.25" customHeight="1">
      <c r="A650" s="5"/>
    </row>
    <row r="651" spans="1:1" ht="14.25" customHeight="1">
      <c r="A651" s="5"/>
    </row>
    <row r="652" spans="1:1" ht="14.25" customHeight="1">
      <c r="A652" s="5"/>
    </row>
    <row r="653" spans="1:1" ht="14.25" customHeight="1">
      <c r="A653" s="5"/>
    </row>
    <row r="654" spans="1:1" ht="14.25" customHeight="1">
      <c r="A654" s="5"/>
    </row>
    <row r="655" spans="1:1" ht="14.25" customHeight="1">
      <c r="A655" s="5"/>
    </row>
    <row r="656" spans="1:1" ht="14.25" customHeight="1">
      <c r="A656" s="5"/>
    </row>
    <row r="657" spans="1:1" ht="14.25" customHeight="1">
      <c r="A657" s="5"/>
    </row>
    <row r="658" spans="1:1" ht="14.25" customHeight="1">
      <c r="A658" s="5"/>
    </row>
    <row r="659" spans="1:1" ht="14.25" customHeight="1">
      <c r="A659" s="5"/>
    </row>
    <row r="660" spans="1:1" ht="14.25" customHeight="1">
      <c r="A660" s="5"/>
    </row>
    <row r="661" spans="1:1" ht="14.25" customHeight="1">
      <c r="A661" s="5"/>
    </row>
    <row r="662" spans="1:1" ht="14.25" customHeight="1">
      <c r="A662" s="5"/>
    </row>
    <row r="663" spans="1:1" ht="14.25" customHeight="1">
      <c r="A663" s="5"/>
    </row>
    <row r="664" spans="1:1" ht="14.25" customHeight="1">
      <c r="A664" s="5"/>
    </row>
    <row r="665" spans="1:1" ht="14.25" customHeight="1">
      <c r="A665" s="5"/>
    </row>
    <row r="666" spans="1:1" ht="14.25" customHeight="1">
      <c r="A666" s="5"/>
    </row>
    <row r="667" spans="1:1" ht="14.25" customHeight="1">
      <c r="A667" s="5"/>
    </row>
    <row r="668" spans="1:1" ht="14.25" customHeight="1">
      <c r="A668" s="5"/>
    </row>
    <row r="669" spans="1:1" ht="14.25" customHeight="1">
      <c r="A669" s="5"/>
    </row>
    <row r="670" spans="1:1" ht="14.25" customHeight="1">
      <c r="A670" s="5"/>
    </row>
    <row r="671" spans="1:1" ht="14.25" customHeight="1">
      <c r="A671" s="5"/>
    </row>
    <row r="672" spans="1:1" ht="14.25" customHeight="1">
      <c r="A672" s="5"/>
    </row>
    <row r="673" spans="1:1" ht="14.25" customHeight="1">
      <c r="A673" s="5"/>
    </row>
    <row r="674" spans="1:1" ht="14.25" customHeight="1">
      <c r="A674" s="5"/>
    </row>
    <row r="675" spans="1:1" ht="14.25" customHeight="1">
      <c r="A675" s="5"/>
    </row>
    <row r="676" spans="1:1" ht="14.25" customHeight="1">
      <c r="A676" s="5"/>
    </row>
    <row r="677" spans="1:1" ht="14.25" customHeight="1">
      <c r="A677" s="5"/>
    </row>
    <row r="678" spans="1:1" ht="14.25" customHeight="1">
      <c r="A678" s="5"/>
    </row>
    <row r="679" spans="1:1" ht="14.25" customHeight="1">
      <c r="A679" s="5"/>
    </row>
    <row r="680" spans="1:1" ht="14.25" customHeight="1">
      <c r="A680" s="5"/>
    </row>
    <row r="681" spans="1:1" ht="14.25" customHeight="1">
      <c r="A681" s="5"/>
    </row>
    <row r="682" spans="1:1" ht="14.25" customHeight="1">
      <c r="A682" s="5"/>
    </row>
    <row r="683" spans="1:1" ht="14.25" customHeight="1">
      <c r="A683" s="5"/>
    </row>
    <row r="684" spans="1:1" ht="14.25" customHeight="1">
      <c r="A684" s="5"/>
    </row>
    <row r="685" spans="1:1" ht="14.25" customHeight="1">
      <c r="A685" s="5"/>
    </row>
    <row r="686" spans="1:1" ht="14.25" customHeight="1">
      <c r="A686" s="5"/>
    </row>
    <row r="687" spans="1:1" ht="14.25" customHeight="1">
      <c r="A687" s="5"/>
    </row>
    <row r="688" spans="1:1" ht="14.25" customHeight="1">
      <c r="A688" s="5"/>
    </row>
    <row r="689" spans="1:1" ht="14.25" customHeight="1">
      <c r="A689" s="5"/>
    </row>
    <row r="690" spans="1:1" ht="14.25" customHeight="1">
      <c r="A690" s="5"/>
    </row>
    <row r="691" spans="1:1" ht="14.25" customHeight="1">
      <c r="A691" s="5"/>
    </row>
    <row r="692" spans="1:1" ht="14.25" customHeight="1">
      <c r="A692" s="5"/>
    </row>
    <row r="693" spans="1:1" ht="14.25" customHeight="1">
      <c r="A693" s="5"/>
    </row>
    <row r="694" spans="1:1" ht="14.25" customHeight="1">
      <c r="A694" s="5"/>
    </row>
    <row r="695" spans="1:1" ht="14.25" customHeight="1">
      <c r="A695" s="5"/>
    </row>
    <row r="696" spans="1:1" ht="14.25" customHeight="1">
      <c r="A696" s="5"/>
    </row>
    <row r="697" spans="1:1" ht="14.25" customHeight="1">
      <c r="A697" s="5"/>
    </row>
    <row r="698" spans="1:1" ht="14.25" customHeight="1">
      <c r="A698" s="5"/>
    </row>
    <row r="699" spans="1:1" ht="14.25" customHeight="1">
      <c r="A699" s="5"/>
    </row>
    <row r="700" spans="1:1" ht="14.25" customHeight="1">
      <c r="A700" s="5"/>
    </row>
    <row r="701" spans="1:1" ht="14.25" customHeight="1">
      <c r="A701" s="5"/>
    </row>
    <row r="702" spans="1:1" ht="14.25" customHeight="1">
      <c r="A702" s="5"/>
    </row>
    <row r="703" spans="1:1" ht="14.25" customHeight="1">
      <c r="A703" s="5"/>
    </row>
    <row r="704" spans="1:1" ht="14.25" customHeight="1">
      <c r="A704" s="5"/>
    </row>
    <row r="705" spans="1:1" ht="14.25" customHeight="1">
      <c r="A705" s="5"/>
    </row>
    <row r="706" spans="1:1" ht="14.25" customHeight="1">
      <c r="A706" s="5"/>
    </row>
    <row r="707" spans="1:1" ht="14.25" customHeight="1">
      <c r="A707" s="5"/>
    </row>
    <row r="708" spans="1:1" ht="14.25" customHeight="1">
      <c r="A708" s="5"/>
    </row>
    <row r="709" spans="1:1" ht="14.25" customHeight="1">
      <c r="A709" s="5"/>
    </row>
    <row r="710" spans="1:1" ht="14.25" customHeight="1">
      <c r="A710" s="5"/>
    </row>
    <row r="711" spans="1:1" ht="14.25" customHeight="1">
      <c r="A711" s="5"/>
    </row>
    <row r="712" spans="1:1" ht="14.25" customHeight="1">
      <c r="A712" s="5"/>
    </row>
    <row r="713" spans="1:1" ht="14.25" customHeight="1">
      <c r="A713" s="5"/>
    </row>
    <row r="714" spans="1:1" ht="14.25" customHeight="1">
      <c r="A714" s="5"/>
    </row>
    <row r="715" spans="1:1" ht="14.25" customHeight="1">
      <c r="A715" s="5"/>
    </row>
    <row r="716" spans="1:1" ht="14.25" customHeight="1">
      <c r="A716" s="5"/>
    </row>
    <row r="717" spans="1:1" ht="14.25" customHeight="1">
      <c r="A717" s="5"/>
    </row>
    <row r="718" spans="1:1" ht="14.25" customHeight="1">
      <c r="A718" s="5"/>
    </row>
    <row r="719" spans="1:1" ht="14.25" customHeight="1">
      <c r="A719" s="5"/>
    </row>
    <row r="720" spans="1:1" ht="14.25" customHeight="1">
      <c r="A720" s="5"/>
    </row>
    <row r="721" spans="1:1" ht="14.25" customHeight="1">
      <c r="A721" s="5"/>
    </row>
    <row r="722" spans="1:1" ht="14.25" customHeight="1">
      <c r="A722" s="5"/>
    </row>
    <row r="723" spans="1:1" ht="14.25" customHeight="1">
      <c r="A723" s="5"/>
    </row>
    <row r="724" spans="1:1" ht="14.25" customHeight="1">
      <c r="A724" s="5"/>
    </row>
    <row r="725" spans="1:1" ht="14.25" customHeight="1">
      <c r="A725" s="5"/>
    </row>
    <row r="726" spans="1:1" ht="14.25" customHeight="1">
      <c r="A726" s="5"/>
    </row>
    <row r="727" spans="1:1" ht="14.25" customHeight="1">
      <c r="A727" s="5"/>
    </row>
    <row r="728" spans="1:1" ht="14.25" customHeight="1">
      <c r="A728" s="5"/>
    </row>
    <row r="729" spans="1:1" ht="14.25" customHeight="1">
      <c r="A729" s="5"/>
    </row>
    <row r="730" spans="1:1" ht="14.25" customHeight="1">
      <c r="A730" s="5"/>
    </row>
    <row r="731" spans="1:1" ht="14.25" customHeight="1">
      <c r="A731" s="5"/>
    </row>
    <row r="732" spans="1:1" ht="14.25" customHeight="1">
      <c r="A732" s="5"/>
    </row>
    <row r="733" spans="1:1" ht="14.25" customHeight="1">
      <c r="A733" s="5"/>
    </row>
    <row r="734" spans="1:1" ht="14.25" customHeight="1">
      <c r="A734" s="5"/>
    </row>
    <row r="735" spans="1:1" ht="14.25" customHeight="1">
      <c r="A735" s="5"/>
    </row>
    <row r="736" spans="1:1" ht="14.25" customHeight="1">
      <c r="A736" s="5"/>
    </row>
    <row r="737" spans="1:1" ht="14.25" customHeight="1">
      <c r="A737" s="5"/>
    </row>
    <row r="738" spans="1:1" ht="14.25" customHeight="1">
      <c r="A738" s="5"/>
    </row>
    <row r="739" spans="1:1" ht="14.25" customHeight="1">
      <c r="A739" s="5"/>
    </row>
    <row r="740" spans="1:1" ht="14.25" customHeight="1">
      <c r="A740" s="5"/>
    </row>
    <row r="741" spans="1:1" ht="14.25" customHeight="1">
      <c r="A741" s="5"/>
    </row>
    <row r="742" spans="1:1" ht="14.25" customHeight="1">
      <c r="A742" s="5"/>
    </row>
    <row r="743" spans="1:1" ht="14.25" customHeight="1">
      <c r="A743" s="5"/>
    </row>
    <row r="744" spans="1:1" ht="14.25" customHeight="1">
      <c r="A744" s="5"/>
    </row>
    <row r="745" spans="1:1" ht="14.25" customHeight="1">
      <c r="A745" s="5"/>
    </row>
    <row r="746" spans="1:1" ht="14.25" customHeight="1">
      <c r="A746" s="5"/>
    </row>
    <row r="747" spans="1:1" ht="14.25" customHeight="1">
      <c r="A747" s="5"/>
    </row>
    <row r="748" spans="1:1" ht="14.25" customHeight="1">
      <c r="A748" s="5"/>
    </row>
    <row r="749" spans="1:1" ht="14.25" customHeight="1">
      <c r="A749" s="5"/>
    </row>
    <row r="750" spans="1:1" ht="14.25" customHeight="1">
      <c r="A750" s="5"/>
    </row>
    <row r="751" spans="1:1" ht="14.25" customHeight="1">
      <c r="A751" s="5"/>
    </row>
    <row r="752" spans="1:1" ht="14.25" customHeight="1">
      <c r="A752" s="5"/>
    </row>
    <row r="753" spans="1:1" ht="14.25" customHeight="1">
      <c r="A753" s="5"/>
    </row>
    <row r="754" spans="1:1" ht="14.25" customHeight="1">
      <c r="A754" s="5"/>
    </row>
    <row r="755" spans="1:1" ht="14.25" customHeight="1">
      <c r="A755" s="5"/>
    </row>
    <row r="756" spans="1:1" ht="14.25" customHeight="1">
      <c r="A756" s="5"/>
    </row>
    <row r="757" spans="1:1" ht="14.25" customHeight="1">
      <c r="A757" s="5"/>
    </row>
    <row r="758" spans="1:1" ht="14.25" customHeight="1">
      <c r="A758" s="5"/>
    </row>
    <row r="759" spans="1:1" ht="14.25" customHeight="1">
      <c r="A759" s="5"/>
    </row>
    <row r="760" spans="1:1" ht="14.25" customHeight="1">
      <c r="A760" s="5"/>
    </row>
    <row r="761" spans="1:1" ht="14.25" customHeight="1">
      <c r="A761" s="5"/>
    </row>
    <row r="762" spans="1:1" ht="14.25" customHeight="1">
      <c r="A762" s="5"/>
    </row>
    <row r="763" spans="1:1" ht="14.25" customHeight="1">
      <c r="A763" s="5"/>
    </row>
    <row r="764" spans="1:1" ht="14.25" customHeight="1">
      <c r="A764" s="5"/>
    </row>
    <row r="765" spans="1:1" ht="14.25" customHeight="1">
      <c r="A765" s="5"/>
    </row>
    <row r="766" spans="1:1" ht="14.25" customHeight="1">
      <c r="A766" s="5"/>
    </row>
    <row r="767" spans="1:1" ht="14.25" customHeight="1">
      <c r="A767" s="5"/>
    </row>
    <row r="768" spans="1:1" ht="14.25" customHeight="1">
      <c r="A768" s="5"/>
    </row>
    <row r="769" spans="1:1" ht="14.25" customHeight="1">
      <c r="A769" s="5"/>
    </row>
    <row r="770" spans="1:1" ht="14.25" customHeight="1">
      <c r="A770" s="5"/>
    </row>
    <row r="771" spans="1:1" ht="14.25" customHeight="1">
      <c r="A771" s="5"/>
    </row>
    <row r="772" spans="1:1" ht="14.25" customHeight="1">
      <c r="A772" s="5"/>
    </row>
    <row r="773" spans="1:1" ht="14.25" customHeight="1">
      <c r="A773" s="5"/>
    </row>
    <row r="774" spans="1:1" ht="14.25" customHeight="1">
      <c r="A774" s="5"/>
    </row>
    <row r="775" spans="1:1" ht="14.25" customHeight="1">
      <c r="A775" s="5"/>
    </row>
    <row r="776" spans="1:1" ht="14.25" customHeight="1">
      <c r="A776" s="5"/>
    </row>
    <row r="777" spans="1:1" ht="14.25" customHeight="1">
      <c r="A777" s="5"/>
    </row>
    <row r="778" spans="1:1" ht="14.25" customHeight="1">
      <c r="A778" s="5"/>
    </row>
    <row r="779" spans="1:1" ht="14.25" customHeight="1">
      <c r="A779" s="5"/>
    </row>
    <row r="780" spans="1:1" ht="14.25" customHeight="1">
      <c r="A780" s="5"/>
    </row>
    <row r="781" spans="1:1" ht="14.25" customHeight="1">
      <c r="A781" s="5"/>
    </row>
    <row r="782" spans="1:1" ht="14.25" customHeight="1">
      <c r="A782" s="5"/>
    </row>
    <row r="783" spans="1:1" ht="14.25" customHeight="1">
      <c r="A783" s="5"/>
    </row>
    <row r="784" spans="1:1" ht="14.25" customHeight="1">
      <c r="A784" s="5"/>
    </row>
    <row r="785" spans="1:1" ht="14.25" customHeight="1">
      <c r="A785" s="5"/>
    </row>
    <row r="786" spans="1:1" ht="14.25" customHeight="1">
      <c r="A786" s="5"/>
    </row>
    <row r="787" spans="1:1" ht="14.25" customHeight="1">
      <c r="A787" s="5"/>
    </row>
    <row r="788" spans="1:1" ht="14.25" customHeight="1">
      <c r="A788" s="5"/>
    </row>
    <row r="789" spans="1:1" ht="14.25" customHeight="1">
      <c r="A789" s="5"/>
    </row>
    <row r="790" spans="1:1" ht="14.25" customHeight="1">
      <c r="A790" s="5"/>
    </row>
    <row r="791" spans="1:1" ht="14.25" customHeight="1">
      <c r="A791" s="5"/>
    </row>
    <row r="792" spans="1:1" ht="14.25" customHeight="1">
      <c r="A792" s="5"/>
    </row>
    <row r="793" spans="1:1" ht="14.25" customHeight="1">
      <c r="A793" s="5"/>
    </row>
    <row r="794" spans="1:1" ht="14.25" customHeight="1">
      <c r="A794" s="5"/>
    </row>
    <row r="795" spans="1:1" ht="14.25" customHeight="1">
      <c r="A795" s="5"/>
    </row>
    <row r="796" spans="1:1" ht="14.25" customHeight="1">
      <c r="A796" s="5"/>
    </row>
    <row r="797" spans="1:1" ht="14.25" customHeight="1">
      <c r="A797" s="5"/>
    </row>
    <row r="798" spans="1:1" ht="14.25" customHeight="1">
      <c r="A798" s="5"/>
    </row>
    <row r="799" spans="1:1" ht="14.25" customHeight="1">
      <c r="A799" s="5"/>
    </row>
    <row r="800" spans="1:1" ht="14.25" customHeight="1">
      <c r="A800" s="5"/>
    </row>
    <row r="801" spans="1:1" ht="14.25" customHeight="1">
      <c r="A801" s="5"/>
    </row>
    <row r="802" spans="1:1" ht="14.25" customHeight="1">
      <c r="A802" s="5"/>
    </row>
    <row r="803" spans="1:1" ht="14.25" customHeight="1">
      <c r="A803" s="5"/>
    </row>
    <row r="804" spans="1:1" ht="14.25" customHeight="1">
      <c r="A804" s="5"/>
    </row>
    <row r="805" spans="1:1" ht="14.25" customHeight="1">
      <c r="A805" s="5"/>
    </row>
    <row r="806" spans="1:1" ht="14.25" customHeight="1">
      <c r="A806" s="5"/>
    </row>
    <row r="807" spans="1:1" ht="14.25" customHeight="1">
      <c r="A807" s="5"/>
    </row>
    <row r="808" spans="1:1" ht="14.25" customHeight="1">
      <c r="A808" s="5"/>
    </row>
    <row r="809" spans="1:1" ht="14.25" customHeight="1">
      <c r="A809" s="5"/>
    </row>
    <row r="810" spans="1:1" ht="14.25" customHeight="1">
      <c r="A810" s="5"/>
    </row>
    <row r="811" spans="1:1" ht="14.25" customHeight="1">
      <c r="A811" s="5"/>
    </row>
    <row r="812" spans="1:1" ht="14.25" customHeight="1">
      <c r="A812" s="5"/>
    </row>
    <row r="813" spans="1:1" ht="14.25" customHeight="1">
      <c r="A813" s="5"/>
    </row>
    <row r="814" spans="1:1" ht="14.25" customHeight="1">
      <c r="A814" s="5"/>
    </row>
    <row r="815" spans="1:1" ht="14.25" customHeight="1">
      <c r="A815" s="5"/>
    </row>
    <row r="816" spans="1:1" ht="14.25" customHeight="1">
      <c r="A816" s="5"/>
    </row>
    <row r="817" spans="1:1" ht="14.25" customHeight="1">
      <c r="A817" s="5"/>
    </row>
    <row r="818" spans="1:1" ht="14.25" customHeight="1">
      <c r="A818" s="5"/>
    </row>
    <row r="819" spans="1:1" ht="14.25" customHeight="1">
      <c r="A819" s="5"/>
    </row>
    <row r="820" spans="1:1" ht="14.25" customHeight="1">
      <c r="A820" s="5"/>
    </row>
    <row r="821" spans="1:1" ht="14.25" customHeight="1">
      <c r="A821" s="5"/>
    </row>
    <row r="822" spans="1:1" ht="14.25" customHeight="1">
      <c r="A822" s="5"/>
    </row>
    <row r="823" spans="1:1" ht="14.25" customHeight="1">
      <c r="A823" s="5"/>
    </row>
    <row r="824" spans="1:1" ht="14.25" customHeight="1">
      <c r="A824" s="5"/>
    </row>
    <row r="825" spans="1:1" ht="14.25" customHeight="1">
      <c r="A825" s="5"/>
    </row>
    <row r="826" spans="1:1" ht="14.25" customHeight="1">
      <c r="A826" s="5"/>
    </row>
    <row r="827" spans="1:1" ht="14.25" customHeight="1">
      <c r="A827" s="5"/>
    </row>
    <row r="828" spans="1:1" ht="14.25" customHeight="1">
      <c r="A828" s="5"/>
    </row>
    <row r="829" spans="1:1" ht="14.25" customHeight="1">
      <c r="A829" s="5"/>
    </row>
    <row r="830" spans="1:1" ht="14.25" customHeight="1">
      <c r="A830" s="5"/>
    </row>
    <row r="831" spans="1:1" ht="14.25" customHeight="1">
      <c r="A831" s="5"/>
    </row>
    <row r="832" spans="1:1" ht="14.25" customHeight="1">
      <c r="A832" s="5"/>
    </row>
    <row r="833" spans="1:1" ht="14.25" customHeight="1">
      <c r="A833" s="5"/>
    </row>
    <row r="834" spans="1:1" ht="14.25" customHeight="1">
      <c r="A834" s="5"/>
    </row>
    <row r="835" spans="1:1" ht="14.25" customHeight="1">
      <c r="A835" s="5"/>
    </row>
    <row r="836" spans="1:1" ht="14.25" customHeight="1">
      <c r="A836" s="5"/>
    </row>
    <row r="837" spans="1:1" ht="14.25" customHeight="1">
      <c r="A837" s="5"/>
    </row>
    <row r="838" spans="1:1" ht="14.25" customHeight="1">
      <c r="A838" s="5"/>
    </row>
    <row r="839" spans="1:1" ht="14.25" customHeight="1">
      <c r="A839" s="5"/>
    </row>
    <row r="840" spans="1:1" ht="14.25" customHeight="1">
      <c r="A840" s="5"/>
    </row>
    <row r="841" spans="1:1" ht="14.25" customHeight="1">
      <c r="A841" s="5"/>
    </row>
    <row r="842" spans="1:1" ht="14.25" customHeight="1">
      <c r="A842" s="5"/>
    </row>
    <row r="843" spans="1:1" ht="14.25" customHeight="1">
      <c r="A843" s="5"/>
    </row>
    <row r="844" spans="1:1" ht="14.25" customHeight="1">
      <c r="A844" s="5"/>
    </row>
    <row r="845" spans="1:1" ht="14.25" customHeight="1">
      <c r="A845" s="5"/>
    </row>
    <row r="846" spans="1:1" ht="14.25" customHeight="1">
      <c r="A846" s="5"/>
    </row>
    <row r="847" spans="1:1" ht="14.25" customHeight="1">
      <c r="A847" s="5"/>
    </row>
    <row r="848" spans="1:1" ht="14.25" customHeight="1">
      <c r="A848" s="5"/>
    </row>
    <row r="849" spans="1:1" ht="14.25" customHeight="1">
      <c r="A849" s="5"/>
    </row>
    <row r="850" spans="1:1" ht="14.25" customHeight="1">
      <c r="A850" s="5"/>
    </row>
    <row r="851" spans="1:1" ht="14.25" customHeight="1">
      <c r="A851" s="5"/>
    </row>
    <row r="852" spans="1:1" ht="14.25" customHeight="1">
      <c r="A852" s="5"/>
    </row>
    <row r="853" spans="1:1" ht="14.25" customHeight="1">
      <c r="A853" s="5"/>
    </row>
    <row r="854" spans="1:1" ht="14.25" customHeight="1">
      <c r="A854" s="5"/>
    </row>
    <row r="855" spans="1:1" ht="14.25" customHeight="1">
      <c r="A855" s="5"/>
    </row>
    <row r="856" spans="1:1" ht="14.25" customHeight="1">
      <c r="A856" s="5"/>
    </row>
    <row r="857" spans="1:1" ht="14.25" customHeight="1">
      <c r="A857" s="5"/>
    </row>
    <row r="858" spans="1:1" ht="14.25" customHeight="1">
      <c r="A858" s="5"/>
    </row>
    <row r="859" spans="1:1" ht="14.25" customHeight="1">
      <c r="A859" s="5"/>
    </row>
    <row r="860" spans="1:1" ht="14.25" customHeight="1">
      <c r="A860" s="5"/>
    </row>
    <row r="861" spans="1:1" ht="14.25" customHeight="1">
      <c r="A861" s="5"/>
    </row>
    <row r="862" spans="1:1" ht="14.25" customHeight="1">
      <c r="A862" s="5"/>
    </row>
    <row r="863" spans="1:1" ht="14.25" customHeight="1">
      <c r="A863" s="5"/>
    </row>
    <row r="864" spans="1:1" ht="14.25" customHeight="1">
      <c r="A864" s="5"/>
    </row>
    <row r="865" spans="1:1" ht="14.25" customHeight="1">
      <c r="A865" s="5"/>
    </row>
    <row r="866" spans="1:1" ht="14.25" customHeight="1">
      <c r="A866" s="5"/>
    </row>
    <row r="867" spans="1:1" ht="14.25" customHeight="1">
      <c r="A867" s="5"/>
    </row>
    <row r="868" spans="1:1" ht="14.25" customHeight="1">
      <c r="A868" s="5"/>
    </row>
    <row r="869" spans="1:1" ht="14.25" customHeight="1">
      <c r="A869" s="5"/>
    </row>
    <row r="870" spans="1:1" ht="14.25" customHeight="1">
      <c r="A870" s="5"/>
    </row>
    <row r="871" spans="1:1" ht="14.25" customHeight="1">
      <c r="A871" s="5"/>
    </row>
    <row r="872" spans="1:1" ht="14.25" customHeight="1">
      <c r="A872" s="5"/>
    </row>
    <row r="873" spans="1:1" ht="14.25" customHeight="1">
      <c r="A873" s="5"/>
    </row>
    <row r="874" spans="1:1" ht="14.25" customHeight="1">
      <c r="A874" s="5"/>
    </row>
    <row r="875" spans="1:1" ht="14.25" customHeight="1">
      <c r="A875" s="5"/>
    </row>
    <row r="876" spans="1:1" ht="14.25" customHeight="1">
      <c r="A876" s="5"/>
    </row>
    <row r="877" spans="1:1" ht="14.25" customHeight="1">
      <c r="A877" s="5"/>
    </row>
    <row r="878" spans="1:1" ht="14.25" customHeight="1">
      <c r="A878" s="5"/>
    </row>
    <row r="879" spans="1:1" ht="14.25" customHeight="1">
      <c r="A879" s="5"/>
    </row>
    <row r="880" spans="1:1" ht="14.25" customHeight="1">
      <c r="A880" s="5"/>
    </row>
    <row r="881" spans="1:1" ht="14.25" customHeight="1">
      <c r="A881" s="5"/>
    </row>
    <row r="882" spans="1:1" ht="14.25" customHeight="1">
      <c r="A882" s="5"/>
    </row>
    <row r="883" spans="1:1" ht="14.25" customHeight="1">
      <c r="A883" s="5"/>
    </row>
    <row r="884" spans="1:1" ht="14.25" customHeight="1">
      <c r="A884" s="5"/>
    </row>
    <row r="885" spans="1:1" ht="14.25" customHeight="1">
      <c r="A885" s="5"/>
    </row>
    <row r="886" spans="1:1" ht="14.25" customHeight="1">
      <c r="A886" s="5"/>
    </row>
    <row r="887" spans="1:1" ht="14.25" customHeight="1">
      <c r="A887" s="5"/>
    </row>
    <row r="888" spans="1:1" ht="14.25" customHeight="1">
      <c r="A888" s="5"/>
    </row>
    <row r="889" spans="1:1" ht="14.25" customHeight="1">
      <c r="A889" s="5"/>
    </row>
    <row r="890" spans="1:1" ht="14.25" customHeight="1">
      <c r="A890" s="5"/>
    </row>
    <row r="891" spans="1:1" ht="14.25" customHeight="1">
      <c r="A891" s="5"/>
    </row>
    <row r="892" spans="1:1" ht="14.25" customHeight="1">
      <c r="A892" s="5"/>
    </row>
    <row r="893" spans="1:1" ht="14.25" customHeight="1">
      <c r="A893" s="5"/>
    </row>
    <row r="894" spans="1:1" ht="14.25" customHeight="1">
      <c r="A894" s="5"/>
    </row>
    <row r="895" spans="1:1" ht="14.25" customHeight="1">
      <c r="A895" s="5"/>
    </row>
    <row r="896" spans="1:1" ht="14.25" customHeight="1">
      <c r="A896" s="5"/>
    </row>
    <row r="897" spans="1:1" ht="14.25" customHeight="1">
      <c r="A897" s="5"/>
    </row>
    <row r="898" spans="1:1" ht="14.25" customHeight="1">
      <c r="A898" s="5"/>
    </row>
    <row r="899" spans="1:1" ht="14.25" customHeight="1">
      <c r="A899" s="5"/>
    </row>
    <row r="900" spans="1:1" ht="14.25" customHeight="1">
      <c r="A900" s="5"/>
    </row>
    <row r="901" spans="1:1" ht="14.25" customHeight="1">
      <c r="A901" s="5"/>
    </row>
    <row r="902" spans="1:1" ht="14.25" customHeight="1">
      <c r="A902" s="5"/>
    </row>
    <row r="903" spans="1:1" ht="14.25" customHeight="1">
      <c r="A903" s="5"/>
    </row>
    <row r="904" spans="1:1" ht="14.25" customHeight="1">
      <c r="A904" s="5"/>
    </row>
    <row r="905" spans="1:1" ht="14.25" customHeight="1">
      <c r="A905" s="5"/>
    </row>
    <row r="906" spans="1:1" ht="14.25" customHeight="1">
      <c r="A906" s="5"/>
    </row>
    <row r="907" spans="1:1" ht="14.25" customHeight="1">
      <c r="A907" s="5"/>
    </row>
    <row r="908" spans="1:1" ht="14.25" customHeight="1">
      <c r="A908" s="5"/>
    </row>
    <row r="909" spans="1:1" ht="14.25" customHeight="1">
      <c r="A909" s="5"/>
    </row>
    <row r="910" spans="1:1" ht="14.25" customHeight="1">
      <c r="A910" s="5"/>
    </row>
    <row r="911" spans="1:1" ht="14.25" customHeight="1">
      <c r="A911" s="5"/>
    </row>
    <row r="912" spans="1:1" ht="14.25" customHeight="1">
      <c r="A912" s="5"/>
    </row>
    <row r="913" spans="1:1" ht="14.25" customHeight="1">
      <c r="A913" s="5"/>
    </row>
    <row r="914" spans="1:1" ht="14.25" customHeight="1">
      <c r="A914" s="5"/>
    </row>
    <row r="915" spans="1:1" ht="14.25" customHeight="1">
      <c r="A915" s="5"/>
    </row>
    <row r="916" spans="1:1" ht="14.25" customHeight="1">
      <c r="A916" s="5"/>
    </row>
    <row r="917" spans="1:1" ht="14.25" customHeight="1">
      <c r="A917" s="5"/>
    </row>
    <row r="918" spans="1:1" ht="14.25" customHeight="1">
      <c r="A918" s="5"/>
    </row>
    <row r="919" spans="1:1" ht="14.25" customHeight="1">
      <c r="A919" s="5"/>
    </row>
    <row r="920" spans="1:1" ht="14.25" customHeight="1">
      <c r="A920" s="5"/>
    </row>
    <row r="921" spans="1:1" ht="14.25" customHeight="1">
      <c r="A921" s="5"/>
    </row>
    <row r="922" spans="1:1" ht="14.25" customHeight="1">
      <c r="A922" s="5"/>
    </row>
    <row r="923" spans="1:1" ht="14.25" customHeight="1">
      <c r="A923" s="5"/>
    </row>
    <row r="924" spans="1:1" ht="14.25" customHeight="1">
      <c r="A924" s="5"/>
    </row>
    <row r="925" spans="1:1" ht="14.25" customHeight="1">
      <c r="A925" s="5"/>
    </row>
    <row r="926" spans="1:1" ht="14.25" customHeight="1">
      <c r="A926" s="5"/>
    </row>
    <row r="927" spans="1:1" ht="14.25" customHeight="1">
      <c r="A927" s="5"/>
    </row>
    <row r="928" spans="1:1" ht="14.25" customHeight="1">
      <c r="A928" s="5"/>
    </row>
    <row r="929" spans="1:1" ht="14.25" customHeight="1">
      <c r="A929" s="5"/>
    </row>
    <row r="930" spans="1:1" ht="14.25" customHeight="1">
      <c r="A930" s="5"/>
    </row>
    <row r="931" spans="1:1" ht="14.25" customHeight="1">
      <c r="A931" s="5"/>
    </row>
    <row r="932" spans="1:1" ht="14.25" customHeight="1">
      <c r="A932" s="5"/>
    </row>
    <row r="933" spans="1:1" ht="14.25" customHeight="1">
      <c r="A933" s="5"/>
    </row>
    <row r="934" spans="1:1" ht="14.25" customHeight="1">
      <c r="A934" s="5"/>
    </row>
    <row r="935" spans="1:1" ht="14.25" customHeight="1">
      <c r="A935" s="5"/>
    </row>
    <row r="936" spans="1:1" ht="14.25" customHeight="1">
      <c r="A936" s="5"/>
    </row>
    <row r="937" spans="1:1" ht="14.25" customHeight="1">
      <c r="A937" s="5"/>
    </row>
    <row r="938" spans="1:1" ht="14.25" customHeight="1">
      <c r="A938" s="5"/>
    </row>
    <row r="939" spans="1:1" ht="14.25" customHeight="1">
      <c r="A939" s="5"/>
    </row>
    <row r="940" spans="1:1" ht="14.25" customHeight="1">
      <c r="A940" s="5"/>
    </row>
    <row r="941" spans="1:1" ht="14.25" customHeight="1">
      <c r="A941" s="5"/>
    </row>
    <row r="942" spans="1:1" ht="14.25" customHeight="1">
      <c r="A942" s="5"/>
    </row>
    <row r="943" spans="1:1" ht="14.25" customHeight="1">
      <c r="A943" s="5"/>
    </row>
    <row r="944" spans="1:1" ht="14.25" customHeight="1">
      <c r="A944" s="5"/>
    </row>
    <row r="945" spans="1:1" ht="14.25" customHeight="1">
      <c r="A945" s="5"/>
    </row>
    <row r="946" spans="1:1" ht="14.25" customHeight="1">
      <c r="A946" s="5"/>
    </row>
    <row r="947" spans="1:1" ht="14.25" customHeight="1">
      <c r="A947" s="5"/>
    </row>
    <row r="948" spans="1:1" ht="14.25" customHeight="1">
      <c r="A948" s="5"/>
    </row>
    <row r="949" spans="1:1" ht="14.25" customHeight="1">
      <c r="A949" s="5"/>
    </row>
    <row r="950" spans="1:1" ht="14.25" customHeight="1">
      <c r="A950" s="5"/>
    </row>
    <row r="951" spans="1:1" ht="14.25" customHeight="1">
      <c r="A951" s="5"/>
    </row>
    <row r="952" spans="1:1" ht="14.25" customHeight="1">
      <c r="A952" s="5"/>
    </row>
    <row r="953" spans="1:1" ht="14.25" customHeight="1">
      <c r="A953" s="5"/>
    </row>
    <row r="954" spans="1:1" ht="14.25" customHeight="1">
      <c r="A954" s="5"/>
    </row>
    <row r="955" spans="1:1" ht="14.25" customHeight="1">
      <c r="A955" s="5"/>
    </row>
    <row r="956" spans="1:1" ht="14.25" customHeight="1">
      <c r="A956" s="5"/>
    </row>
    <row r="957" spans="1:1" ht="14.25" customHeight="1">
      <c r="A957" s="5"/>
    </row>
    <row r="958" spans="1:1" ht="14.25" customHeight="1">
      <c r="A958" s="5"/>
    </row>
    <row r="959" spans="1:1" ht="14.25" customHeight="1">
      <c r="A959" s="5"/>
    </row>
    <row r="960" spans="1:1" ht="14.25" customHeight="1">
      <c r="A960" s="5"/>
    </row>
    <row r="961" spans="1:1" ht="14.25" customHeight="1">
      <c r="A961" s="5"/>
    </row>
    <row r="962" spans="1:1" ht="14.25" customHeight="1">
      <c r="A962" s="5"/>
    </row>
    <row r="963" spans="1:1" ht="14.25" customHeight="1">
      <c r="A963" s="5"/>
    </row>
    <row r="964" spans="1:1" ht="14.25" customHeight="1">
      <c r="A964" s="5"/>
    </row>
    <row r="965" spans="1:1" ht="14.25" customHeight="1">
      <c r="A965" s="5"/>
    </row>
    <row r="966" spans="1:1" ht="14.25" customHeight="1">
      <c r="A966" s="5"/>
    </row>
    <row r="967" spans="1:1" ht="14.25" customHeight="1">
      <c r="A967" s="5"/>
    </row>
    <row r="968" spans="1:1" ht="14.25" customHeight="1">
      <c r="A968" s="5"/>
    </row>
    <row r="969" spans="1:1" ht="14.25" customHeight="1">
      <c r="A969" s="5"/>
    </row>
    <row r="970" spans="1:1" ht="14.25" customHeight="1">
      <c r="A970" s="5"/>
    </row>
    <row r="971" spans="1:1" ht="14.25" customHeight="1">
      <c r="A971" s="5"/>
    </row>
    <row r="972" spans="1:1" ht="14.25" customHeight="1">
      <c r="A972" s="5"/>
    </row>
    <row r="973" spans="1:1" ht="14.25" customHeight="1">
      <c r="A973" s="5"/>
    </row>
    <row r="974" spans="1:1" ht="14.25" customHeight="1">
      <c r="A974" s="5"/>
    </row>
    <row r="975" spans="1:1" ht="14.25" customHeight="1">
      <c r="A975" s="5"/>
    </row>
    <row r="976" spans="1:1" ht="14.25" customHeight="1">
      <c r="A976" s="5"/>
    </row>
    <row r="977" spans="1:1" ht="14.25" customHeight="1">
      <c r="A977" s="5"/>
    </row>
    <row r="978" spans="1:1" ht="14.25" customHeight="1">
      <c r="A978" s="5"/>
    </row>
    <row r="979" spans="1:1" ht="14.25" customHeight="1">
      <c r="A979" s="5"/>
    </row>
    <row r="980" spans="1:1" ht="14.25" customHeight="1">
      <c r="A980" s="5"/>
    </row>
    <row r="981" spans="1:1" ht="14.25" customHeight="1">
      <c r="A981" s="5"/>
    </row>
    <row r="982" spans="1:1" ht="14.25" customHeight="1">
      <c r="A982" s="5"/>
    </row>
    <row r="983" spans="1:1" ht="14.25" customHeight="1">
      <c r="A983" s="5"/>
    </row>
    <row r="984" spans="1:1" ht="14.25" customHeight="1">
      <c r="A984" s="5"/>
    </row>
    <row r="985" spans="1:1" ht="14.25" customHeight="1">
      <c r="A985" s="5"/>
    </row>
    <row r="986" spans="1:1" ht="14.25" customHeight="1">
      <c r="A986" s="5"/>
    </row>
    <row r="987" spans="1:1" ht="14.25" customHeight="1">
      <c r="A987" s="5"/>
    </row>
    <row r="988" spans="1:1" ht="14.25" customHeight="1">
      <c r="A988" s="5"/>
    </row>
    <row r="989" spans="1:1" ht="14.25" customHeight="1">
      <c r="A989" s="5"/>
    </row>
    <row r="990" spans="1:1" ht="14.25" customHeight="1">
      <c r="A990" s="5"/>
    </row>
    <row r="991" spans="1:1" ht="14.25" customHeight="1">
      <c r="A991" s="5"/>
    </row>
    <row r="992" spans="1:1" ht="14.25" customHeight="1">
      <c r="A992" s="5"/>
    </row>
    <row r="993" spans="1:1" ht="14.25" customHeight="1">
      <c r="A993" s="5"/>
    </row>
    <row r="994" spans="1:1" ht="14.25" customHeight="1">
      <c r="A994" s="5"/>
    </row>
    <row r="995" spans="1:1" ht="14.25" customHeight="1">
      <c r="A995" s="5"/>
    </row>
    <row r="996" spans="1:1" ht="14.25" customHeight="1">
      <c r="A996" s="5"/>
    </row>
    <row r="997" spans="1:1" ht="14.25" customHeight="1">
      <c r="A997" s="5"/>
    </row>
    <row r="998" spans="1:1" ht="14.25" customHeight="1">
      <c r="A998" s="5"/>
    </row>
    <row r="999" spans="1:1" ht="14.25" customHeight="1">
      <c r="A999" s="5"/>
    </row>
    <row r="1000" spans="1:1" ht="14.25" customHeight="1">
      <c r="A1000" s="5"/>
    </row>
  </sheetData>
  <sheetProtection algorithmName="SHA-512" hashValue="8MDnEuhBlCx9/aXNO/R8KRfZz+J2HG2j5I67zm8RhDIl3tO4NE8XDi88CwfxH0OSkAnA4AQzAMzQOg68LjXoqA==" saltValue="Lsv0omxNfr1kTb/WO3n+wg==" spinCount="100000" sheet="1" objects="1" scenarios="1" selectLockedCells="1" selectUnlockedCells="1"/>
  <mergeCells count="2">
    <mergeCell ref="B2:C2"/>
    <mergeCell ref="E2:F2"/>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Transactions</vt:lpstr>
      <vt:lpstr>Charting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Office</cp:lastModifiedBy>
  <dcterms:created xsi:type="dcterms:W3CDTF">2022-04-28T23:28:49Z</dcterms:created>
  <dcterms:modified xsi:type="dcterms:W3CDTF">2026-04-10T19:12:09Z</dcterms:modified>
</cp:coreProperties>
</file>